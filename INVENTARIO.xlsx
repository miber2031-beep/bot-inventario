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pnofpichar\Desktop\CHATBOT CHGPT RAILWAY\"/>
    </mc:Choice>
  </mc:AlternateContent>
  <bookViews>
    <workbookView xWindow="0" yWindow="0" windowWidth="19200" windowHeight="7550" tabRatio="897"/>
  </bookViews>
  <sheets>
    <sheet name="AGOTADOS" sheetId="4" r:id="rId1"/>
    <sheet name="VERCER" sheetId="5" r:id="rId2"/>
  </sheets>
  <definedNames>
    <definedName name="_xlnm._FilterDatabase" localSheetId="1" hidden="1">VERCER!$A$1:$H$36</definedName>
  </definedNames>
  <calcPr calcId="162913"/>
</workbook>
</file>

<file path=xl/calcChain.xml><?xml version="1.0" encoding="utf-8"?>
<calcChain xmlns="http://schemas.openxmlformats.org/spreadsheetml/2006/main">
  <c r="F36" i="5" l="1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D36" i="5" l="1"/>
  <c r="G36" i="5" s="1"/>
  <c r="D35" i="5"/>
  <c r="G35" i="5" s="1"/>
  <c r="D34" i="5"/>
  <c r="G34" i="5" s="1"/>
  <c r="D33" i="5"/>
  <c r="G33" i="5" s="1"/>
  <c r="D32" i="5"/>
  <c r="G32" i="5" s="1"/>
  <c r="D31" i="5"/>
  <c r="G31" i="5" s="1"/>
  <c r="D30" i="5"/>
  <c r="G30" i="5" s="1"/>
  <c r="D29" i="5"/>
  <c r="G29" i="5" s="1"/>
  <c r="D28" i="5"/>
  <c r="G28" i="5" s="1"/>
  <c r="D27" i="5"/>
  <c r="G27" i="5" s="1"/>
  <c r="D26" i="5"/>
  <c r="G26" i="5" s="1"/>
  <c r="D25" i="5"/>
  <c r="G25" i="5" s="1"/>
  <c r="D24" i="5"/>
  <c r="G24" i="5" s="1"/>
  <c r="D23" i="5"/>
  <c r="G23" i="5" s="1"/>
  <c r="D22" i="5"/>
  <c r="G22" i="5" s="1"/>
  <c r="D21" i="5"/>
  <c r="G21" i="5" s="1"/>
  <c r="D20" i="5"/>
  <c r="G20" i="5" s="1"/>
  <c r="D19" i="5"/>
  <c r="G19" i="5" s="1"/>
  <c r="D18" i="5"/>
  <c r="G18" i="5" s="1"/>
  <c r="D17" i="5"/>
  <c r="G17" i="5" s="1"/>
  <c r="D16" i="5"/>
  <c r="G16" i="5" s="1"/>
  <c r="D15" i="5"/>
  <c r="G15" i="5" s="1"/>
  <c r="D14" i="5"/>
  <c r="G14" i="5" s="1"/>
  <c r="D13" i="5"/>
  <c r="G13" i="5" s="1"/>
  <c r="D12" i="5"/>
  <c r="G12" i="5" s="1"/>
  <c r="D11" i="5"/>
  <c r="G11" i="5" s="1"/>
  <c r="D10" i="5"/>
  <c r="G10" i="5" s="1"/>
  <c r="D9" i="5"/>
  <c r="G9" i="5" s="1"/>
  <c r="D8" i="5"/>
  <c r="G8" i="5" s="1"/>
  <c r="D7" i="5"/>
  <c r="G7" i="5" s="1"/>
  <c r="D6" i="5"/>
  <c r="G6" i="5" s="1"/>
  <c r="D5" i="5"/>
  <c r="G5" i="5" s="1"/>
  <c r="D4" i="5"/>
  <c r="G4" i="5" s="1"/>
  <c r="D3" i="5"/>
  <c r="G3" i="5" s="1"/>
  <c r="D2" i="5"/>
  <c r="G2" i="5" s="1"/>
</calcChain>
</file>

<file path=xl/sharedStrings.xml><?xml version="1.0" encoding="utf-8"?>
<sst xmlns="http://schemas.openxmlformats.org/spreadsheetml/2006/main" count="157" uniqueCount="79">
  <si>
    <t>Material</t>
  </si>
  <si>
    <t>FeCaduc/Fe</t>
  </si>
  <si>
    <t>Chocolate Tutto di 360g 18x18x20gMTS</t>
  </si>
  <si>
    <t>Gta. YIPY Minis Vainilla Bs.x 174g. CRI</t>
  </si>
  <si>
    <t>Gta. Chiky Chocolate x 9 CRI</t>
  </si>
  <si>
    <t>Gta. TOSH Chocolate y Avellanas Bs.x8</t>
  </si>
  <si>
    <t>Brr. TOSH Lyne 6plegx12unx32g CAM</t>
  </si>
  <si>
    <t>Brr. TOSH Chocolate 6plegx12unx32g CAM</t>
  </si>
  <si>
    <t>Tutto cookiesblanc534g24x12x44.5gMTS</t>
  </si>
  <si>
    <t>Gta. Chiky Chocolate Bs. X10</t>
  </si>
  <si>
    <t>Gta. Canasta Chocolate BsX12 CRI NU</t>
  </si>
  <si>
    <t>Gta. Yipy Vainilla Bs. X 12 CRI CM</t>
  </si>
  <si>
    <t>Gta. Chiky Chocolate Bs x 8 CRI CM</t>
  </si>
  <si>
    <t>Gta. Soda Especias BsX8 CAM NU</t>
  </si>
  <si>
    <t>Gta. Recreo Limon Bs x 10 CM</t>
  </si>
  <si>
    <t>Gta. Cremas POZ Mixtas CRI Ind.x6</t>
  </si>
  <si>
    <t>Choys mani display 600g 12x12x50gMTS</t>
  </si>
  <si>
    <t>Gta. Mantequilla Tentaciones Ind.x6</t>
  </si>
  <si>
    <t>Nucita algodon azucar 510g24x12x42.5MTS</t>
  </si>
  <si>
    <t>Gta. Tosh Fusion de Cereales Bs x6 CRI</t>
  </si>
  <si>
    <t>Gta. Tosh Rellena Rosas y Fresas Bs.x8</t>
  </si>
  <si>
    <t>Tutto chocolovers leche320g 24x4x80gMTS</t>
  </si>
  <si>
    <t>Cremino Untable 12/350g GT</t>
  </si>
  <si>
    <t>Gta. NAVIDAD FAMILIA Bs 220g</t>
  </si>
  <si>
    <t>Tutto sirope chocolate 250g 24x250g MTS</t>
  </si>
  <si>
    <t>Granuts PartyMix 180g 12x180g MTS</t>
  </si>
  <si>
    <t>Concen. DUKAT Gato Cachorros 1.59 kgrs.</t>
  </si>
  <si>
    <t>Gta.CLUB EXTRA Fiesta Tb 65gr</t>
  </si>
  <si>
    <t>Brr. TOSH Surtida 14xbjax6undx23g CAM</t>
  </si>
  <si>
    <t>Gta TOSH Maria Sin Azucar Bs x8 168g</t>
  </si>
  <si>
    <t>Gta. NAVIDAD FAMILIA Bs. 150g</t>
  </si>
  <si>
    <t>Glina.Tutto Bomb Caramel 4x12x3un  CAM</t>
  </si>
  <si>
    <t>Brr. TOSH Arandanos 22bjax3undx23g CAM</t>
  </si>
  <si>
    <t>Pasab. GRANUTS Sweet&amp;Salty dp12x180g CAM</t>
  </si>
  <si>
    <t>Gta. Chiky Chocolate Bs.x12 Navidad</t>
  </si>
  <si>
    <t>TuttoCrunchyBitesBailey 480g 8x12x40gMTS</t>
  </si>
  <si>
    <t>Gta. POZUELO Crocants Vainilla Bsx6 192g</t>
  </si>
  <si>
    <t>Alimento seco para gato BIGOTES 453g</t>
  </si>
  <si>
    <t>Mezcla TajIn Granuts 540g 8x12x45g NI</t>
  </si>
  <si>
    <t>Glina.TuttoPlacerAvellan8Plegx8unx80gCAM</t>
  </si>
  <si>
    <t>Gta. CHIKY Chips Bs. X6 Promo ST</t>
  </si>
  <si>
    <t>Cocoa Sprinkles chocolate 100g12x100gMTS</t>
  </si>
  <si>
    <t>Mermelada Tosh 24X200G GuayabaChia MTS</t>
  </si>
  <si>
    <t>Agotados</t>
  </si>
  <si>
    <t>Proximo a Vencerse</t>
  </si>
  <si>
    <t>Días a Vencer</t>
  </si>
  <si>
    <t>AGOTADO</t>
  </si>
  <si>
    <t>DESCONTINUADO</t>
  </si>
  <si>
    <t>Brr. TOSH Arandanos 6plegx12unx32g CAM</t>
  </si>
  <si>
    <t>Gta.TOSH Fusion de Cereales Bs x9</t>
  </si>
  <si>
    <t>Gta. TOSH Avena Chocolate Bsx6 180g</t>
  </si>
  <si>
    <t>Brr. TOSH Mani pasas 16plex6undx23g INT</t>
  </si>
  <si>
    <t>Gta. Club Extra Plain Bls.x8 216g</t>
  </si>
  <si>
    <t>Granuts Arandamix 130G 14 X130G MTS</t>
  </si>
  <si>
    <t>Brr. TOSH Lyne piña 16plex6undx23g INT</t>
  </si>
  <si>
    <t>Chocobo.Frasco742,5g 12x742,5gMTS</t>
  </si>
  <si>
    <t>Concen. DUKAT Gato Cachorros 400 grs.</t>
  </si>
  <si>
    <t>Brr.TOSHMani pasas 16plex6undx23g MTS</t>
  </si>
  <si>
    <t>Tutto Chocolover blanco 1440g18x80g MTS</t>
  </si>
  <si>
    <t>Mani con pasas GRANUTS 180g 12x180g</t>
  </si>
  <si>
    <t>Mezcla arandanos GRANUTS 180g12x180g</t>
  </si>
  <si>
    <t>Próximo a vencerse</t>
  </si>
  <si>
    <t>Codigo</t>
  </si>
  <si>
    <t>Mezcla arandan GRANUTS 540g 8x12x45gMTS</t>
  </si>
  <si>
    <t>3 en 1 COLCAFE fco. 380g x12 CAM AND</t>
  </si>
  <si>
    <t>Glina.TUTTO Mad 2025 54g 20x4x13.5g CAM</t>
  </si>
  <si>
    <t>Gta. Tosh Limon con Te Verde Bs. X9 NU</t>
  </si>
  <si>
    <t>Gta. Club Extra Qso Blanco Bx6 Mundi</t>
  </si>
  <si>
    <t>FUERA DE TEMPORADA</t>
  </si>
  <si>
    <t>Gta. Familia Regular Ple.x 345g. CRI</t>
  </si>
  <si>
    <t>Tutto lovers Leche 1110g 12x6x185gMTS</t>
  </si>
  <si>
    <t>Gta.TOSH Avena Pasas Bsx6 180 g</t>
  </si>
  <si>
    <t>Granuts Almendras Tost 150G 12x150G MTS</t>
  </si>
  <si>
    <t>Cocoa Dulce Marshmellow 150g 14x150 MTS</t>
  </si>
  <si>
    <t>Gta. TOSH Avena MielAjonjoli Bs. x6 180g</t>
  </si>
  <si>
    <t>Mezcla TajIn Granuts 150g 12x150g NI</t>
  </si>
  <si>
    <t>Premez. COCOA DULCE Brownies 12bolx350g</t>
  </si>
  <si>
    <t>Tutto Arbolito miniLovers 72g12x90g MTS</t>
  </si>
  <si>
    <t>SUSTITUIDO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</si>
</sst>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14" fontId="0" fillId="0" borderId="0" xfId="0" applyNumberFormat="1"/>
    <xf numFmtId="1" fontId="0" fillId="0" borderId="0" xfId="0" applyNumberFormat="1"/>
    <xf numFmtId="0" fontId="18" fillId="0" borderId="0" xfId="0" applyFont="1"/>
    <xf numFmtId="0" fontId="0" fillId="0" borderId="0" xfId="0" applyFont="1"/>
    <xf numFmtId="0" fontId="14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F300"/>
  <sheetViews>
    <sheetView tabSelected="1" zoomScale="85" zoomScaleNormal="85" workbookViewId="0">
      <pane xSplit="2" ySplit="1" topLeftCell="C1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RowHeight="14.5" x14ac:dyDescent="0.35"/>
  <cols>
    <col min="2" max="2" width="37.90625" bestFit="1" customWidth="1"/>
    <col min="3" max="3" width="21.08984375" style="1" bestFit="1" customWidth="1"/>
    <col min="4" max="4" width="95.90625" style="1" customWidth="1"/>
    <col min="5" max="5" width="18.36328125" style="1" bestFit="1" customWidth="1"/>
  </cols>
  <sheetData>
    <row r="1" spans="1:6" x14ac:dyDescent="0.35">
      <c r="A1" s="1" t="s">
        <v>62</v>
      </c>
      <c r="B1" s="1" t="s">
        <v>0</v>
      </c>
      <c r="C1" s="1" t="s">
        <v>43</v>
      </c>
      <c r="F1" s="1"/>
    </row>
    <row r="2" spans="1:6" s="1" customFormat="1" x14ac:dyDescent="0.35">
      <c r="A2" s="5">
        <v>1068971</v>
      </c>
      <c r="B2" s="5" t="s">
        <v>59</v>
      </c>
      <c r="C2" s="5" t="s">
        <v>46</v>
      </c>
      <c r="E2" s="4"/>
      <c r="F2"/>
    </row>
    <row r="3" spans="1:6" s="1" customFormat="1" x14ac:dyDescent="0.35">
      <c r="A3" s="5">
        <v>1048984</v>
      </c>
      <c r="B3" s="5" t="s">
        <v>55</v>
      </c>
      <c r="C3" s="5" t="s">
        <v>46</v>
      </c>
      <c r="E3" s="4"/>
      <c r="F3"/>
    </row>
    <row r="4" spans="1:6" s="1" customFormat="1" x14ac:dyDescent="0.35">
      <c r="A4" s="5">
        <v>1077294</v>
      </c>
      <c r="B4" s="5" t="s">
        <v>37</v>
      </c>
      <c r="C4" s="5" t="s">
        <v>46</v>
      </c>
      <c r="E4" s="4"/>
      <c r="F4"/>
    </row>
    <row r="5" spans="1:6" s="1" customFormat="1" x14ac:dyDescent="0.35">
      <c r="A5" s="5">
        <v>1007699</v>
      </c>
      <c r="B5" s="5" t="s">
        <v>2</v>
      </c>
      <c r="C5" s="5" t="s">
        <v>46</v>
      </c>
      <c r="E5" s="4"/>
      <c r="F5"/>
    </row>
    <row r="6" spans="1:6" s="1" customFormat="1" x14ac:dyDescent="0.35">
      <c r="A6" s="5">
        <v>1031914</v>
      </c>
      <c r="B6" s="5" t="s">
        <v>8</v>
      </c>
      <c r="C6" s="5" t="s">
        <v>46</v>
      </c>
      <c r="E6" s="4"/>
      <c r="F6"/>
    </row>
    <row r="7" spans="1:6" s="1" customFormat="1" x14ac:dyDescent="0.35">
      <c r="A7" s="5">
        <v>1048652</v>
      </c>
      <c r="B7" s="5" t="s">
        <v>53</v>
      </c>
      <c r="C7" s="5" t="s">
        <v>46</v>
      </c>
      <c r="E7" s="4"/>
      <c r="F7"/>
    </row>
    <row r="8" spans="1:6" s="1" customFormat="1" x14ac:dyDescent="0.35">
      <c r="A8" s="5">
        <v>1050519</v>
      </c>
      <c r="B8" s="5" t="s">
        <v>18</v>
      </c>
      <c r="C8" s="5" t="s">
        <v>46</v>
      </c>
      <c r="E8" s="4"/>
      <c r="F8"/>
    </row>
    <row r="9" spans="1:6" s="1" customFormat="1" x14ac:dyDescent="0.35">
      <c r="A9" s="5">
        <v>1077355</v>
      </c>
      <c r="B9" s="5" t="s">
        <v>57</v>
      </c>
      <c r="C9" s="5" t="s">
        <v>46</v>
      </c>
      <c r="E9" s="4"/>
      <c r="F9"/>
    </row>
    <row r="10" spans="1:6" s="1" customFormat="1" x14ac:dyDescent="0.35">
      <c r="A10" s="5">
        <v>1065585</v>
      </c>
      <c r="B10" s="5" t="s">
        <v>25</v>
      </c>
      <c r="C10" s="5" t="s">
        <v>46</v>
      </c>
      <c r="E10" s="4"/>
      <c r="F10"/>
    </row>
    <row r="11" spans="1:6" s="1" customFormat="1" x14ac:dyDescent="0.35">
      <c r="A11" s="5">
        <v>1056124</v>
      </c>
      <c r="B11" s="5" t="s">
        <v>21</v>
      </c>
      <c r="C11" s="5" t="s">
        <v>46</v>
      </c>
      <c r="E11" s="4"/>
      <c r="F11"/>
    </row>
    <row r="12" spans="1:6" s="1" customFormat="1" x14ac:dyDescent="0.35">
      <c r="A12" s="5">
        <v>1048563</v>
      </c>
      <c r="B12" s="5" t="s">
        <v>16</v>
      </c>
      <c r="C12" s="5" t="s">
        <v>46</v>
      </c>
      <c r="E12" s="4"/>
      <c r="F12"/>
    </row>
    <row r="13" spans="1:6" s="1" customFormat="1" x14ac:dyDescent="0.35">
      <c r="A13" s="5">
        <v>1080890</v>
      </c>
      <c r="B13" s="5" t="s">
        <v>52</v>
      </c>
      <c r="C13" s="5" t="s">
        <v>46</v>
      </c>
      <c r="E13" s="4"/>
      <c r="F13"/>
    </row>
    <row r="14" spans="1:6" s="1" customFormat="1" x14ac:dyDescent="0.35">
      <c r="A14" s="5">
        <v>2016899</v>
      </c>
      <c r="B14" s="5" t="s">
        <v>41</v>
      </c>
      <c r="C14" s="5" t="s">
        <v>46</v>
      </c>
      <c r="E14" s="4"/>
      <c r="F14"/>
    </row>
    <row r="15" spans="1:6" s="1" customFormat="1" x14ac:dyDescent="0.35">
      <c r="A15" s="5">
        <v>1055786</v>
      </c>
      <c r="B15" s="5" t="s">
        <v>20</v>
      </c>
      <c r="C15" s="5" t="s">
        <v>46</v>
      </c>
      <c r="E15" s="4"/>
      <c r="F15"/>
    </row>
    <row r="16" spans="1:6" s="1" customFormat="1" x14ac:dyDescent="0.35">
      <c r="A16" s="5">
        <v>1031561</v>
      </c>
      <c r="B16" s="5" t="s">
        <v>48</v>
      </c>
      <c r="C16" s="5" t="s">
        <v>46</v>
      </c>
      <c r="E16" s="4"/>
      <c r="F16"/>
    </row>
    <row r="17" spans="1:6" s="1" customFormat="1" x14ac:dyDescent="0.35">
      <c r="A17" s="5">
        <v>1069839</v>
      </c>
      <c r="B17" s="5" t="s">
        <v>63</v>
      </c>
      <c r="C17" s="5" t="s">
        <v>46</v>
      </c>
      <c r="E17" s="4"/>
      <c r="F17"/>
    </row>
    <row r="18" spans="1:6" s="1" customFormat="1" x14ac:dyDescent="0.35">
      <c r="A18" s="5">
        <v>1068737</v>
      </c>
      <c r="B18" s="5" t="s">
        <v>27</v>
      </c>
      <c r="C18" s="5" t="s">
        <v>46</v>
      </c>
      <c r="E18" s="4"/>
      <c r="F18"/>
    </row>
    <row r="19" spans="1:6" s="1" customFormat="1" x14ac:dyDescent="0.35">
      <c r="A19" s="5">
        <v>1068889</v>
      </c>
      <c r="B19" s="5" t="s">
        <v>60</v>
      </c>
      <c r="C19" s="5" t="s">
        <v>46</v>
      </c>
      <c r="E19" s="4"/>
      <c r="F19"/>
    </row>
    <row r="20" spans="1:6" s="1" customFormat="1" x14ac:dyDescent="0.35">
      <c r="A20" s="5">
        <v>1046471</v>
      </c>
      <c r="B20" s="5" t="s">
        <v>54</v>
      </c>
      <c r="C20" s="5" t="s">
        <v>47</v>
      </c>
      <c r="E20" s="4"/>
      <c r="F20"/>
    </row>
    <row r="21" spans="1:6" s="1" customFormat="1" x14ac:dyDescent="0.35">
      <c r="A21" s="5">
        <v>1034530</v>
      </c>
      <c r="B21" s="5" t="s">
        <v>64</v>
      </c>
      <c r="C21" s="6" t="s">
        <v>78</v>
      </c>
      <c r="E21" s="4"/>
      <c r="F21"/>
    </row>
    <row r="22" spans="1:6" s="1" customFormat="1" x14ac:dyDescent="0.35">
      <c r="A22" s="5">
        <v>1077113</v>
      </c>
      <c r="B22" s="5" t="s">
        <v>65</v>
      </c>
      <c r="C22" s="6" t="s">
        <v>78</v>
      </c>
      <c r="E22" s="4"/>
      <c r="F22"/>
    </row>
    <row r="23" spans="1:6" s="1" customFormat="1" x14ac:dyDescent="0.35">
      <c r="A23" s="5">
        <v>1038656</v>
      </c>
      <c r="B23" s="5" t="s">
        <v>66</v>
      </c>
      <c r="C23" s="5" t="s">
        <v>46</v>
      </c>
      <c r="E23" s="4"/>
      <c r="F23"/>
    </row>
    <row r="24" spans="1:6" s="1" customFormat="1" x14ac:dyDescent="0.35">
      <c r="A24" s="5">
        <v>1034182</v>
      </c>
      <c r="B24" s="5" t="s">
        <v>67</v>
      </c>
      <c r="C24" s="5" t="s">
        <v>68</v>
      </c>
      <c r="E24" s="4"/>
      <c r="F24"/>
    </row>
    <row r="25" spans="1:6" s="1" customFormat="1" x14ac:dyDescent="0.35">
      <c r="A25" s="5">
        <v>1067980</v>
      </c>
      <c r="B25" s="5" t="s">
        <v>56</v>
      </c>
      <c r="C25" s="5" t="s">
        <v>46</v>
      </c>
      <c r="E25" s="4"/>
      <c r="F25"/>
    </row>
    <row r="26" spans="1:6" s="1" customFormat="1" x14ac:dyDescent="0.35">
      <c r="A26" s="5">
        <v>1055660</v>
      </c>
      <c r="B26" s="5" t="s">
        <v>49</v>
      </c>
      <c r="C26" s="5" t="s">
        <v>47</v>
      </c>
      <c r="E26" s="4"/>
      <c r="F26"/>
    </row>
    <row r="27" spans="1:6" s="1" customFormat="1" x14ac:dyDescent="0.35">
      <c r="A27" s="5">
        <v>1039731</v>
      </c>
      <c r="B27" s="5" t="s">
        <v>51</v>
      </c>
      <c r="C27" s="6" t="s">
        <v>78</v>
      </c>
      <c r="E27" s="4"/>
      <c r="F27"/>
    </row>
    <row r="28" spans="1:6" s="1" customFormat="1" x14ac:dyDescent="0.35">
      <c r="A28" s="5">
        <v>1007765</v>
      </c>
      <c r="B28" s="5" t="s">
        <v>69</v>
      </c>
      <c r="C28" s="5" t="s">
        <v>47</v>
      </c>
      <c r="E28" s="4"/>
      <c r="F28"/>
    </row>
    <row r="29" spans="1:6" s="1" customFormat="1" x14ac:dyDescent="0.35">
      <c r="A29" s="5">
        <v>1071640</v>
      </c>
      <c r="B29" s="5" t="s">
        <v>29</v>
      </c>
      <c r="C29" s="5" t="s">
        <v>46</v>
      </c>
      <c r="E29" s="4"/>
      <c r="F29"/>
    </row>
    <row r="30" spans="1:6" s="1" customFormat="1" x14ac:dyDescent="0.35">
      <c r="A30" s="5">
        <v>1056161</v>
      </c>
      <c r="B30" s="5" t="s">
        <v>58</v>
      </c>
      <c r="C30" s="5" t="s">
        <v>46</v>
      </c>
      <c r="E30" s="4"/>
      <c r="F30"/>
    </row>
    <row r="31" spans="1:6" s="1" customFormat="1" x14ac:dyDescent="0.35">
      <c r="A31" s="5">
        <v>1063098</v>
      </c>
      <c r="B31" s="5" t="s">
        <v>70</v>
      </c>
      <c r="C31" s="6" t="s">
        <v>78</v>
      </c>
      <c r="E31" s="4"/>
      <c r="F31"/>
    </row>
    <row r="32" spans="1:6" s="1" customFormat="1" x14ac:dyDescent="0.35">
      <c r="A32" s="5">
        <v>1069855</v>
      </c>
      <c r="B32" s="5" t="s">
        <v>71</v>
      </c>
      <c r="C32" s="5" t="s">
        <v>47</v>
      </c>
      <c r="E32" s="4"/>
      <c r="F32"/>
    </row>
    <row r="33" spans="1:6" s="1" customFormat="1" x14ac:dyDescent="0.35">
      <c r="A33" s="5">
        <v>1055661</v>
      </c>
      <c r="B33" s="5" t="s">
        <v>19</v>
      </c>
      <c r="C33" s="5" t="s">
        <v>47</v>
      </c>
      <c r="E33" s="4"/>
      <c r="F33"/>
    </row>
    <row r="34" spans="1:6" s="1" customFormat="1" x14ac:dyDescent="0.35">
      <c r="A34" s="5">
        <v>1068862</v>
      </c>
      <c r="B34" s="5" t="s">
        <v>72</v>
      </c>
      <c r="C34" s="5" t="s">
        <v>46</v>
      </c>
      <c r="E34" s="4"/>
      <c r="F34"/>
    </row>
    <row r="35" spans="1:6" s="1" customFormat="1" x14ac:dyDescent="0.35">
      <c r="A35" s="5">
        <v>1064321</v>
      </c>
      <c r="B35" s="5" t="s">
        <v>50</v>
      </c>
      <c r="C35" s="5" t="s">
        <v>47</v>
      </c>
      <c r="E35" s="4"/>
      <c r="F35"/>
    </row>
    <row r="36" spans="1:6" s="1" customFormat="1" x14ac:dyDescent="0.35">
      <c r="A36" s="5">
        <v>1042815</v>
      </c>
      <c r="B36" s="5" t="s">
        <v>73</v>
      </c>
      <c r="C36" s="5" t="s">
        <v>46</v>
      </c>
      <c r="E36" s="4"/>
      <c r="F36"/>
    </row>
    <row r="37" spans="1:6" s="1" customFormat="1" x14ac:dyDescent="0.35">
      <c r="A37" s="5">
        <v>1064320</v>
      </c>
      <c r="B37" s="5" t="s">
        <v>74</v>
      </c>
      <c r="C37" s="5" t="s">
        <v>47</v>
      </c>
      <c r="E37" s="4"/>
      <c r="F37"/>
    </row>
    <row r="38" spans="1:6" s="1" customFormat="1" x14ac:dyDescent="0.35">
      <c r="A38" s="5">
        <v>1078427</v>
      </c>
      <c r="B38" s="5" t="s">
        <v>75</v>
      </c>
      <c r="C38" s="5" t="s">
        <v>46</v>
      </c>
      <c r="E38" s="4"/>
      <c r="F38"/>
    </row>
    <row r="39" spans="1:6" s="1" customFormat="1" x14ac:dyDescent="0.35">
      <c r="A39" s="5">
        <v>1050172</v>
      </c>
      <c r="B39" s="5" t="s">
        <v>76</v>
      </c>
      <c r="C39" s="5" t="s">
        <v>46</v>
      </c>
      <c r="E39" s="4"/>
      <c r="F39"/>
    </row>
    <row r="40" spans="1:6" s="1" customFormat="1" x14ac:dyDescent="0.35">
      <c r="A40" s="5">
        <v>1073552</v>
      </c>
      <c r="B40" s="5" t="s">
        <v>77</v>
      </c>
      <c r="C40" s="5" t="s">
        <v>68</v>
      </c>
      <c r="E40" s="4"/>
      <c r="F40"/>
    </row>
    <row r="41" spans="1:6" s="1" customFormat="1" x14ac:dyDescent="0.35">
      <c r="A41"/>
      <c r="B41"/>
      <c r="C41" s="5"/>
      <c r="E41" s="4"/>
      <c r="F41"/>
    </row>
    <row r="42" spans="1:6" s="1" customFormat="1" x14ac:dyDescent="0.35">
      <c r="A42"/>
      <c r="B42"/>
      <c r="C42" s="5"/>
      <c r="E42" s="4"/>
      <c r="F42"/>
    </row>
    <row r="43" spans="1:6" s="1" customFormat="1" x14ac:dyDescent="0.35">
      <c r="A43"/>
      <c r="B43"/>
      <c r="C43" s="5"/>
      <c r="E43" s="4"/>
      <c r="F43"/>
    </row>
    <row r="44" spans="1:6" s="1" customFormat="1" x14ac:dyDescent="0.35">
      <c r="A44"/>
      <c r="B44"/>
      <c r="C44" s="5"/>
      <c r="E44" s="4"/>
      <c r="F44"/>
    </row>
    <row r="45" spans="1:6" s="1" customFormat="1" x14ac:dyDescent="0.35">
      <c r="A45"/>
      <c r="B45"/>
      <c r="C45" s="5"/>
      <c r="E45" s="4"/>
      <c r="F45"/>
    </row>
    <row r="46" spans="1:6" s="1" customFormat="1" x14ac:dyDescent="0.35">
      <c r="A46"/>
      <c r="B46"/>
      <c r="C46" s="5"/>
      <c r="E46" s="4"/>
      <c r="F46"/>
    </row>
    <row r="47" spans="1:6" s="1" customFormat="1" x14ac:dyDescent="0.35">
      <c r="A47"/>
      <c r="B47"/>
      <c r="C47" s="5"/>
      <c r="E47" s="4"/>
      <c r="F47"/>
    </row>
    <row r="48" spans="1:6" s="1" customFormat="1" x14ac:dyDescent="0.35">
      <c r="A48"/>
      <c r="B48"/>
      <c r="C48" s="5"/>
      <c r="E48" s="4"/>
      <c r="F48"/>
    </row>
    <row r="49" spans="1:6" s="1" customFormat="1" x14ac:dyDescent="0.35">
      <c r="A49"/>
      <c r="B49"/>
      <c r="C49" s="5"/>
      <c r="E49" s="4"/>
      <c r="F49"/>
    </row>
    <row r="50" spans="1:6" s="1" customFormat="1" x14ac:dyDescent="0.35">
      <c r="A50"/>
      <c r="B50"/>
      <c r="C50" s="5"/>
      <c r="E50" s="4"/>
      <c r="F50"/>
    </row>
    <row r="51" spans="1:6" s="1" customFormat="1" x14ac:dyDescent="0.35">
      <c r="A51"/>
      <c r="B51"/>
      <c r="E51" s="4"/>
      <c r="F51"/>
    </row>
    <row r="52" spans="1:6" s="1" customFormat="1" x14ac:dyDescent="0.35">
      <c r="A52"/>
      <c r="B52"/>
      <c r="E52" s="4"/>
      <c r="F52"/>
    </row>
    <row r="53" spans="1:6" s="1" customFormat="1" x14ac:dyDescent="0.35">
      <c r="A53"/>
      <c r="B53"/>
      <c r="E53" s="4"/>
      <c r="F53"/>
    </row>
    <row r="54" spans="1:6" s="1" customFormat="1" x14ac:dyDescent="0.35">
      <c r="A54"/>
      <c r="B54"/>
      <c r="E54" s="4"/>
      <c r="F54"/>
    </row>
    <row r="55" spans="1:6" s="1" customFormat="1" x14ac:dyDescent="0.35">
      <c r="A55"/>
      <c r="B55"/>
      <c r="E55" s="4"/>
      <c r="F55"/>
    </row>
    <row r="56" spans="1:6" s="1" customFormat="1" x14ac:dyDescent="0.35">
      <c r="A56"/>
      <c r="B56"/>
      <c r="E56" s="4"/>
      <c r="F56"/>
    </row>
    <row r="57" spans="1:6" s="1" customFormat="1" x14ac:dyDescent="0.35">
      <c r="A57"/>
      <c r="B57"/>
      <c r="E57" s="4"/>
      <c r="F57"/>
    </row>
    <row r="58" spans="1:6" s="1" customFormat="1" x14ac:dyDescent="0.35">
      <c r="A58"/>
      <c r="B58"/>
      <c r="E58" s="4"/>
      <c r="F58"/>
    </row>
    <row r="59" spans="1:6" s="1" customFormat="1" x14ac:dyDescent="0.35">
      <c r="A59"/>
      <c r="B59"/>
      <c r="E59" s="4"/>
      <c r="F59"/>
    </row>
    <row r="60" spans="1:6" s="1" customFormat="1" x14ac:dyDescent="0.35">
      <c r="A60"/>
      <c r="B60"/>
      <c r="E60" s="4"/>
      <c r="F60"/>
    </row>
    <row r="61" spans="1:6" s="1" customFormat="1" x14ac:dyDescent="0.35">
      <c r="A61"/>
      <c r="B61"/>
      <c r="E61" s="4"/>
      <c r="F61"/>
    </row>
    <row r="62" spans="1:6" s="1" customFormat="1" x14ac:dyDescent="0.35">
      <c r="A62"/>
      <c r="B62"/>
      <c r="E62" s="4"/>
      <c r="F62"/>
    </row>
    <row r="63" spans="1:6" s="1" customFormat="1" x14ac:dyDescent="0.35">
      <c r="A63"/>
      <c r="B63"/>
      <c r="E63" s="4"/>
      <c r="F63"/>
    </row>
    <row r="64" spans="1:6" s="1" customFormat="1" x14ac:dyDescent="0.35">
      <c r="A64"/>
      <c r="B64"/>
      <c r="E64" s="4"/>
      <c r="F64"/>
    </row>
    <row r="65" spans="1:6" s="1" customFormat="1" x14ac:dyDescent="0.35">
      <c r="A65"/>
      <c r="B65"/>
      <c r="E65" s="4"/>
      <c r="F65"/>
    </row>
    <row r="66" spans="1:6" s="1" customFormat="1" x14ac:dyDescent="0.35">
      <c r="A66"/>
      <c r="B66"/>
      <c r="E66" s="4"/>
      <c r="F66"/>
    </row>
    <row r="67" spans="1:6" s="1" customFormat="1" x14ac:dyDescent="0.35">
      <c r="A67"/>
      <c r="B67"/>
      <c r="E67" s="4"/>
      <c r="F67"/>
    </row>
    <row r="68" spans="1:6" s="1" customFormat="1" x14ac:dyDescent="0.35">
      <c r="A68"/>
      <c r="B68"/>
      <c r="E68" s="4"/>
      <c r="F68"/>
    </row>
    <row r="69" spans="1:6" s="1" customFormat="1" x14ac:dyDescent="0.35">
      <c r="A69"/>
      <c r="B69"/>
      <c r="E69" s="4"/>
      <c r="F69"/>
    </row>
    <row r="70" spans="1:6" s="1" customFormat="1" x14ac:dyDescent="0.35">
      <c r="A70"/>
      <c r="B70"/>
      <c r="E70" s="4"/>
      <c r="F70"/>
    </row>
    <row r="71" spans="1:6" s="1" customFormat="1" x14ac:dyDescent="0.35">
      <c r="A71"/>
      <c r="B71"/>
      <c r="E71" s="4"/>
      <c r="F71"/>
    </row>
    <row r="72" spans="1:6" s="1" customFormat="1" x14ac:dyDescent="0.35">
      <c r="A72"/>
      <c r="B72"/>
      <c r="E72" s="4"/>
      <c r="F72"/>
    </row>
    <row r="73" spans="1:6" s="1" customFormat="1" x14ac:dyDescent="0.35">
      <c r="A73"/>
      <c r="B73"/>
      <c r="E73" s="4"/>
      <c r="F73"/>
    </row>
    <row r="74" spans="1:6" s="1" customFormat="1" x14ac:dyDescent="0.35">
      <c r="A74"/>
      <c r="B74"/>
      <c r="E74" s="4"/>
      <c r="F74"/>
    </row>
    <row r="75" spans="1:6" s="1" customFormat="1" x14ac:dyDescent="0.35">
      <c r="A75"/>
      <c r="B75"/>
      <c r="E75" s="4"/>
      <c r="F75"/>
    </row>
    <row r="76" spans="1:6" s="1" customFormat="1" x14ac:dyDescent="0.35">
      <c r="A76"/>
      <c r="B76"/>
      <c r="E76" s="4"/>
      <c r="F76"/>
    </row>
    <row r="77" spans="1:6" s="1" customFormat="1" x14ac:dyDescent="0.35">
      <c r="A77"/>
      <c r="B77"/>
      <c r="E77" s="4"/>
      <c r="F77"/>
    </row>
    <row r="78" spans="1:6" s="1" customFormat="1" x14ac:dyDescent="0.35">
      <c r="A78"/>
      <c r="B78"/>
      <c r="E78" s="4"/>
      <c r="F78"/>
    </row>
    <row r="79" spans="1:6" s="1" customFormat="1" x14ac:dyDescent="0.35">
      <c r="A79"/>
      <c r="B79"/>
      <c r="E79" s="4"/>
      <c r="F79"/>
    </row>
    <row r="80" spans="1:6" s="1" customFormat="1" x14ac:dyDescent="0.35">
      <c r="A80"/>
      <c r="B80"/>
      <c r="E80" s="4"/>
      <c r="F80"/>
    </row>
    <row r="81" spans="1:6" s="1" customFormat="1" x14ac:dyDescent="0.35">
      <c r="A81"/>
      <c r="B81"/>
      <c r="E81" s="4"/>
      <c r="F81"/>
    </row>
    <row r="82" spans="1:6" s="1" customFormat="1" x14ac:dyDescent="0.35">
      <c r="A82"/>
      <c r="B82"/>
      <c r="E82" s="4"/>
      <c r="F82"/>
    </row>
    <row r="83" spans="1:6" s="1" customFormat="1" x14ac:dyDescent="0.35">
      <c r="A83"/>
      <c r="B83"/>
      <c r="E83" s="4"/>
      <c r="F83"/>
    </row>
    <row r="84" spans="1:6" s="1" customFormat="1" x14ac:dyDescent="0.35">
      <c r="A84"/>
      <c r="B84"/>
      <c r="E84" s="4"/>
      <c r="F84"/>
    </row>
    <row r="85" spans="1:6" s="1" customFormat="1" x14ac:dyDescent="0.35">
      <c r="A85"/>
      <c r="B85"/>
      <c r="E85" s="4"/>
      <c r="F85"/>
    </row>
    <row r="86" spans="1:6" s="1" customFormat="1" x14ac:dyDescent="0.35">
      <c r="A86"/>
      <c r="B86"/>
      <c r="E86" s="4"/>
      <c r="F86"/>
    </row>
    <row r="87" spans="1:6" s="1" customFormat="1" x14ac:dyDescent="0.35">
      <c r="A87"/>
      <c r="B87"/>
      <c r="E87" s="4"/>
      <c r="F87"/>
    </row>
    <row r="88" spans="1:6" s="1" customFormat="1" x14ac:dyDescent="0.35">
      <c r="A88"/>
      <c r="B88"/>
      <c r="E88" s="4"/>
      <c r="F88"/>
    </row>
    <row r="89" spans="1:6" s="1" customFormat="1" x14ac:dyDescent="0.35">
      <c r="A89"/>
      <c r="B89"/>
      <c r="E89" s="4"/>
      <c r="F89"/>
    </row>
    <row r="90" spans="1:6" s="1" customFormat="1" x14ac:dyDescent="0.35">
      <c r="A90"/>
      <c r="B90"/>
      <c r="E90" s="4"/>
      <c r="F90"/>
    </row>
    <row r="91" spans="1:6" s="1" customFormat="1" x14ac:dyDescent="0.35">
      <c r="A91"/>
      <c r="B91"/>
      <c r="E91" s="4"/>
      <c r="F91"/>
    </row>
    <row r="92" spans="1:6" s="1" customFormat="1" x14ac:dyDescent="0.35">
      <c r="A92"/>
      <c r="B92"/>
      <c r="E92" s="4"/>
      <c r="F92"/>
    </row>
    <row r="93" spans="1:6" s="1" customFormat="1" x14ac:dyDescent="0.35">
      <c r="A93"/>
      <c r="B93"/>
      <c r="E93" s="4"/>
      <c r="F93"/>
    </row>
    <row r="94" spans="1:6" s="1" customFormat="1" x14ac:dyDescent="0.35">
      <c r="A94"/>
      <c r="B94"/>
      <c r="E94" s="4"/>
      <c r="F94"/>
    </row>
    <row r="95" spans="1:6" s="1" customFormat="1" x14ac:dyDescent="0.35">
      <c r="A95"/>
      <c r="B95"/>
      <c r="E95" s="4"/>
      <c r="F95"/>
    </row>
    <row r="96" spans="1:6" s="1" customFormat="1" x14ac:dyDescent="0.35">
      <c r="A96"/>
      <c r="B96"/>
      <c r="E96" s="4"/>
      <c r="F96"/>
    </row>
    <row r="97" spans="1:6" s="1" customFormat="1" x14ac:dyDescent="0.35">
      <c r="A97"/>
      <c r="B97"/>
      <c r="E97" s="4"/>
      <c r="F97"/>
    </row>
    <row r="98" spans="1:6" s="1" customFormat="1" x14ac:dyDescent="0.35">
      <c r="A98"/>
      <c r="B98"/>
      <c r="E98" s="4"/>
      <c r="F98"/>
    </row>
    <row r="99" spans="1:6" s="1" customFormat="1" x14ac:dyDescent="0.35">
      <c r="A99"/>
      <c r="B99"/>
      <c r="E99" s="4"/>
      <c r="F99"/>
    </row>
    <row r="100" spans="1:6" s="1" customFormat="1" x14ac:dyDescent="0.35">
      <c r="A100"/>
      <c r="B100"/>
      <c r="E100" s="4"/>
      <c r="F100"/>
    </row>
    <row r="101" spans="1:6" s="1" customFormat="1" x14ac:dyDescent="0.35">
      <c r="A101"/>
      <c r="B101"/>
      <c r="E101" s="4"/>
      <c r="F101"/>
    </row>
    <row r="102" spans="1:6" s="1" customFormat="1" x14ac:dyDescent="0.35">
      <c r="A102"/>
      <c r="B102"/>
      <c r="E102" s="4"/>
      <c r="F102"/>
    </row>
    <row r="103" spans="1:6" s="1" customFormat="1" x14ac:dyDescent="0.35">
      <c r="A103"/>
      <c r="B103"/>
      <c r="E103" s="4"/>
      <c r="F103"/>
    </row>
    <row r="104" spans="1:6" s="1" customFormat="1" x14ac:dyDescent="0.35">
      <c r="A104"/>
      <c r="B104"/>
      <c r="E104" s="4"/>
      <c r="F104"/>
    </row>
    <row r="105" spans="1:6" s="1" customFormat="1" x14ac:dyDescent="0.35">
      <c r="A105"/>
      <c r="B105"/>
      <c r="E105" s="4"/>
      <c r="F105"/>
    </row>
    <row r="106" spans="1:6" s="1" customFormat="1" x14ac:dyDescent="0.35">
      <c r="A106"/>
      <c r="B106"/>
      <c r="E106" s="4"/>
      <c r="F106"/>
    </row>
    <row r="107" spans="1:6" s="1" customFormat="1" x14ac:dyDescent="0.35">
      <c r="A107"/>
      <c r="B107"/>
      <c r="E107" s="4"/>
      <c r="F107"/>
    </row>
    <row r="108" spans="1:6" s="1" customFormat="1" x14ac:dyDescent="0.35">
      <c r="A108"/>
      <c r="B108"/>
      <c r="E108" s="4"/>
      <c r="F108"/>
    </row>
    <row r="109" spans="1:6" s="1" customFormat="1" x14ac:dyDescent="0.35">
      <c r="A109"/>
      <c r="B109"/>
      <c r="E109" s="4"/>
      <c r="F109"/>
    </row>
    <row r="110" spans="1:6" s="1" customFormat="1" x14ac:dyDescent="0.35">
      <c r="A110"/>
      <c r="B110"/>
      <c r="E110" s="4"/>
      <c r="F110"/>
    </row>
    <row r="111" spans="1:6" s="1" customFormat="1" x14ac:dyDescent="0.35">
      <c r="A111"/>
      <c r="B111"/>
      <c r="E111" s="4"/>
      <c r="F111"/>
    </row>
    <row r="112" spans="1:6" s="1" customFormat="1" x14ac:dyDescent="0.35">
      <c r="A112"/>
      <c r="B112"/>
      <c r="E112" s="4"/>
      <c r="F112"/>
    </row>
    <row r="113" spans="1:6" s="1" customFormat="1" x14ac:dyDescent="0.35">
      <c r="A113"/>
      <c r="B113"/>
      <c r="E113" s="4"/>
      <c r="F113"/>
    </row>
    <row r="114" spans="1:6" s="1" customFormat="1" x14ac:dyDescent="0.35">
      <c r="A114"/>
      <c r="B114"/>
      <c r="E114" s="4"/>
      <c r="F114"/>
    </row>
    <row r="115" spans="1:6" s="1" customFormat="1" x14ac:dyDescent="0.35">
      <c r="A115"/>
      <c r="B115"/>
      <c r="E115" s="4"/>
      <c r="F115"/>
    </row>
    <row r="116" spans="1:6" s="1" customFormat="1" x14ac:dyDescent="0.35">
      <c r="A116"/>
      <c r="B116"/>
      <c r="E116" s="4"/>
      <c r="F116"/>
    </row>
    <row r="117" spans="1:6" s="1" customFormat="1" x14ac:dyDescent="0.35">
      <c r="A117"/>
      <c r="B117"/>
      <c r="E117" s="4"/>
      <c r="F117"/>
    </row>
    <row r="118" spans="1:6" s="1" customFormat="1" x14ac:dyDescent="0.35">
      <c r="A118"/>
      <c r="B118"/>
      <c r="E118" s="4"/>
      <c r="F118"/>
    </row>
    <row r="119" spans="1:6" s="1" customFormat="1" x14ac:dyDescent="0.35">
      <c r="A119"/>
      <c r="B119"/>
      <c r="E119" s="4"/>
      <c r="F119"/>
    </row>
    <row r="120" spans="1:6" s="1" customFormat="1" x14ac:dyDescent="0.35">
      <c r="A120"/>
      <c r="B120"/>
      <c r="E120" s="4"/>
      <c r="F120"/>
    </row>
    <row r="121" spans="1:6" s="1" customFormat="1" x14ac:dyDescent="0.35">
      <c r="A121"/>
      <c r="B121"/>
      <c r="E121" s="4"/>
      <c r="F121"/>
    </row>
    <row r="122" spans="1:6" s="1" customFormat="1" x14ac:dyDescent="0.35">
      <c r="A122"/>
      <c r="B122"/>
      <c r="E122" s="4"/>
      <c r="F122"/>
    </row>
    <row r="123" spans="1:6" s="1" customFormat="1" x14ac:dyDescent="0.35">
      <c r="A123"/>
      <c r="B123"/>
      <c r="E123" s="4"/>
      <c r="F123"/>
    </row>
    <row r="124" spans="1:6" s="1" customFormat="1" x14ac:dyDescent="0.35">
      <c r="A124"/>
      <c r="B124"/>
      <c r="E124" s="4"/>
      <c r="F124"/>
    </row>
    <row r="125" spans="1:6" s="1" customFormat="1" x14ac:dyDescent="0.35">
      <c r="A125"/>
      <c r="B125"/>
      <c r="E125" s="4"/>
      <c r="F125"/>
    </row>
    <row r="126" spans="1:6" s="1" customFormat="1" x14ac:dyDescent="0.35">
      <c r="A126"/>
      <c r="B126"/>
      <c r="E126" s="4"/>
      <c r="F126"/>
    </row>
    <row r="127" spans="1:6" s="1" customFormat="1" x14ac:dyDescent="0.35">
      <c r="A127"/>
      <c r="B127"/>
      <c r="E127" s="4"/>
      <c r="F127"/>
    </row>
    <row r="128" spans="1:6" s="1" customFormat="1" x14ac:dyDescent="0.35">
      <c r="A128"/>
      <c r="B128"/>
      <c r="E128" s="4"/>
      <c r="F128"/>
    </row>
    <row r="129" spans="1:6" s="1" customFormat="1" x14ac:dyDescent="0.35">
      <c r="A129"/>
      <c r="B129"/>
      <c r="E129" s="4"/>
      <c r="F129"/>
    </row>
    <row r="130" spans="1:6" s="1" customFormat="1" x14ac:dyDescent="0.35">
      <c r="A130"/>
      <c r="B130"/>
      <c r="E130" s="4"/>
      <c r="F130"/>
    </row>
    <row r="131" spans="1:6" s="1" customFormat="1" x14ac:dyDescent="0.35">
      <c r="A131"/>
      <c r="B131"/>
      <c r="E131" s="4"/>
      <c r="F131"/>
    </row>
    <row r="132" spans="1:6" s="1" customFormat="1" x14ac:dyDescent="0.35">
      <c r="A132"/>
      <c r="B132"/>
      <c r="E132" s="4"/>
      <c r="F132"/>
    </row>
    <row r="133" spans="1:6" s="1" customFormat="1" x14ac:dyDescent="0.35">
      <c r="A133"/>
      <c r="B133"/>
      <c r="E133" s="4"/>
      <c r="F133"/>
    </row>
    <row r="134" spans="1:6" s="1" customFormat="1" x14ac:dyDescent="0.35">
      <c r="A134"/>
      <c r="B134"/>
      <c r="E134" s="4"/>
      <c r="F134"/>
    </row>
    <row r="135" spans="1:6" s="1" customFormat="1" x14ac:dyDescent="0.35">
      <c r="A135"/>
      <c r="B135"/>
      <c r="E135" s="4"/>
      <c r="F135"/>
    </row>
    <row r="136" spans="1:6" s="1" customFormat="1" x14ac:dyDescent="0.35">
      <c r="A136"/>
      <c r="B136"/>
      <c r="E136" s="4"/>
      <c r="F136"/>
    </row>
    <row r="137" spans="1:6" s="1" customFormat="1" x14ac:dyDescent="0.35">
      <c r="A137"/>
      <c r="B137"/>
      <c r="E137" s="4"/>
      <c r="F137"/>
    </row>
    <row r="138" spans="1:6" s="1" customFormat="1" x14ac:dyDescent="0.35">
      <c r="A138"/>
      <c r="B138"/>
      <c r="E138" s="4"/>
      <c r="F138"/>
    </row>
    <row r="139" spans="1:6" s="1" customFormat="1" x14ac:dyDescent="0.35">
      <c r="A139"/>
      <c r="B139"/>
      <c r="E139" s="4"/>
      <c r="F139"/>
    </row>
    <row r="140" spans="1:6" s="1" customFormat="1" x14ac:dyDescent="0.35">
      <c r="A140"/>
      <c r="B140"/>
      <c r="E140" s="4"/>
      <c r="F140"/>
    </row>
    <row r="141" spans="1:6" s="1" customFormat="1" x14ac:dyDescent="0.35">
      <c r="A141"/>
      <c r="B141"/>
      <c r="E141" s="4"/>
      <c r="F141"/>
    </row>
    <row r="142" spans="1:6" s="1" customFormat="1" x14ac:dyDescent="0.35">
      <c r="A142"/>
      <c r="B142"/>
      <c r="E142" s="4"/>
      <c r="F142"/>
    </row>
    <row r="143" spans="1:6" s="1" customFormat="1" x14ac:dyDescent="0.35">
      <c r="A143"/>
      <c r="B143"/>
      <c r="E143" s="4"/>
      <c r="F143"/>
    </row>
    <row r="144" spans="1:6" s="1" customFormat="1" x14ac:dyDescent="0.35">
      <c r="A144"/>
      <c r="B144"/>
      <c r="E144" s="4"/>
      <c r="F144"/>
    </row>
    <row r="145" spans="1:6" s="1" customFormat="1" x14ac:dyDescent="0.35">
      <c r="A145"/>
      <c r="B145"/>
      <c r="E145" s="4"/>
      <c r="F145"/>
    </row>
    <row r="146" spans="1:6" s="1" customFormat="1" x14ac:dyDescent="0.35">
      <c r="A146"/>
      <c r="B146"/>
      <c r="E146" s="4"/>
      <c r="F146"/>
    </row>
    <row r="147" spans="1:6" s="1" customFormat="1" x14ac:dyDescent="0.35">
      <c r="A147"/>
      <c r="B147"/>
      <c r="E147" s="4"/>
      <c r="F147"/>
    </row>
    <row r="148" spans="1:6" s="1" customFormat="1" x14ac:dyDescent="0.35">
      <c r="A148"/>
      <c r="B148"/>
      <c r="E148" s="4"/>
      <c r="F148"/>
    </row>
    <row r="149" spans="1:6" s="1" customFormat="1" x14ac:dyDescent="0.35">
      <c r="A149"/>
      <c r="B149"/>
      <c r="E149" s="4"/>
      <c r="F149"/>
    </row>
    <row r="150" spans="1:6" s="1" customFormat="1" x14ac:dyDescent="0.35">
      <c r="A150"/>
      <c r="B150"/>
      <c r="E150" s="4"/>
      <c r="F150"/>
    </row>
    <row r="151" spans="1:6" s="1" customFormat="1" x14ac:dyDescent="0.35">
      <c r="A151"/>
      <c r="B151"/>
      <c r="E151" s="4"/>
      <c r="F151"/>
    </row>
    <row r="152" spans="1:6" s="1" customFormat="1" x14ac:dyDescent="0.35">
      <c r="A152"/>
      <c r="B152"/>
      <c r="E152" s="4"/>
      <c r="F152"/>
    </row>
    <row r="153" spans="1:6" s="1" customFormat="1" x14ac:dyDescent="0.35">
      <c r="A153"/>
      <c r="B153"/>
      <c r="E153" s="4"/>
      <c r="F153"/>
    </row>
    <row r="154" spans="1:6" s="1" customFormat="1" x14ac:dyDescent="0.35">
      <c r="A154"/>
      <c r="B154"/>
      <c r="E154" s="4"/>
      <c r="F154"/>
    </row>
    <row r="155" spans="1:6" s="1" customFormat="1" x14ac:dyDescent="0.35">
      <c r="A155"/>
      <c r="B155"/>
      <c r="E155" s="4"/>
      <c r="F155"/>
    </row>
    <row r="156" spans="1:6" s="1" customFormat="1" x14ac:dyDescent="0.35">
      <c r="A156"/>
      <c r="B156"/>
      <c r="E156" s="4"/>
      <c r="F156"/>
    </row>
    <row r="157" spans="1:6" s="1" customFormat="1" x14ac:dyDescent="0.35">
      <c r="A157"/>
      <c r="B157"/>
      <c r="E157" s="4"/>
      <c r="F157"/>
    </row>
    <row r="158" spans="1:6" s="1" customFormat="1" x14ac:dyDescent="0.35">
      <c r="A158"/>
      <c r="B158"/>
      <c r="E158" s="4"/>
      <c r="F158"/>
    </row>
    <row r="159" spans="1:6" s="1" customFormat="1" x14ac:dyDescent="0.35">
      <c r="A159"/>
      <c r="B159"/>
      <c r="E159" s="4"/>
      <c r="F159"/>
    </row>
    <row r="160" spans="1:6" s="1" customFormat="1" x14ac:dyDescent="0.35">
      <c r="A160"/>
      <c r="B160"/>
      <c r="E160" s="4"/>
      <c r="F160"/>
    </row>
    <row r="161" spans="1:6" s="1" customFormat="1" x14ac:dyDescent="0.35">
      <c r="A161"/>
      <c r="B161"/>
      <c r="E161" s="4"/>
      <c r="F161"/>
    </row>
    <row r="162" spans="1:6" s="1" customFormat="1" x14ac:dyDescent="0.35">
      <c r="A162"/>
      <c r="B162"/>
      <c r="E162" s="4"/>
      <c r="F162"/>
    </row>
    <row r="163" spans="1:6" s="1" customFormat="1" x14ac:dyDescent="0.35">
      <c r="A163"/>
      <c r="B163"/>
      <c r="E163" s="4"/>
      <c r="F163"/>
    </row>
    <row r="164" spans="1:6" s="1" customFormat="1" x14ac:dyDescent="0.35">
      <c r="A164"/>
      <c r="B164"/>
      <c r="E164" s="4"/>
      <c r="F164"/>
    </row>
    <row r="165" spans="1:6" s="1" customFormat="1" x14ac:dyDescent="0.35">
      <c r="A165"/>
      <c r="B165"/>
      <c r="E165" s="4"/>
      <c r="F165"/>
    </row>
    <row r="166" spans="1:6" s="1" customFormat="1" x14ac:dyDescent="0.35">
      <c r="A166"/>
      <c r="B166"/>
      <c r="E166" s="4"/>
      <c r="F166"/>
    </row>
    <row r="167" spans="1:6" s="1" customFormat="1" x14ac:dyDescent="0.35">
      <c r="A167"/>
      <c r="B167"/>
      <c r="E167" s="4"/>
      <c r="F167"/>
    </row>
    <row r="168" spans="1:6" s="1" customFormat="1" x14ac:dyDescent="0.35">
      <c r="A168"/>
      <c r="B168"/>
      <c r="E168" s="4"/>
      <c r="F168"/>
    </row>
    <row r="169" spans="1:6" s="1" customFormat="1" x14ac:dyDescent="0.35">
      <c r="A169"/>
      <c r="B169"/>
      <c r="E169" s="4"/>
      <c r="F169"/>
    </row>
    <row r="170" spans="1:6" s="1" customFormat="1" x14ac:dyDescent="0.35">
      <c r="A170"/>
      <c r="B170"/>
      <c r="E170" s="4"/>
      <c r="F170"/>
    </row>
    <row r="171" spans="1:6" s="1" customFormat="1" x14ac:dyDescent="0.35">
      <c r="A171"/>
      <c r="B171"/>
      <c r="E171" s="4"/>
      <c r="F171"/>
    </row>
    <row r="172" spans="1:6" s="1" customFormat="1" x14ac:dyDescent="0.35">
      <c r="A172"/>
      <c r="B172"/>
      <c r="E172" s="4"/>
      <c r="F172"/>
    </row>
    <row r="173" spans="1:6" s="1" customFormat="1" x14ac:dyDescent="0.35">
      <c r="A173"/>
      <c r="B173"/>
      <c r="E173" s="4"/>
      <c r="F173"/>
    </row>
    <row r="174" spans="1:6" s="1" customFormat="1" x14ac:dyDescent="0.35">
      <c r="A174"/>
      <c r="B174"/>
      <c r="E174" s="4"/>
      <c r="F174"/>
    </row>
    <row r="175" spans="1:6" s="1" customFormat="1" x14ac:dyDescent="0.35">
      <c r="A175"/>
      <c r="B175"/>
      <c r="E175" s="4"/>
      <c r="F175"/>
    </row>
    <row r="176" spans="1:6" s="1" customFormat="1" x14ac:dyDescent="0.35">
      <c r="A176"/>
      <c r="B176"/>
      <c r="E176" s="4"/>
      <c r="F176"/>
    </row>
    <row r="177" spans="1:6" s="1" customFormat="1" x14ac:dyDescent="0.35">
      <c r="A177"/>
      <c r="B177"/>
      <c r="E177" s="4"/>
      <c r="F177"/>
    </row>
    <row r="178" spans="1:6" s="1" customFormat="1" x14ac:dyDescent="0.35">
      <c r="A178"/>
      <c r="B178"/>
      <c r="E178" s="4"/>
      <c r="F178"/>
    </row>
    <row r="179" spans="1:6" s="1" customFormat="1" x14ac:dyDescent="0.35">
      <c r="A179"/>
      <c r="B179"/>
      <c r="E179" s="4"/>
      <c r="F179"/>
    </row>
    <row r="180" spans="1:6" s="1" customFormat="1" x14ac:dyDescent="0.35">
      <c r="A180"/>
      <c r="B180"/>
      <c r="E180" s="4"/>
      <c r="F180"/>
    </row>
    <row r="181" spans="1:6" s="1" customFormat="1" x14ac:dyDescent="0.35">
      <c r="A181"/>
      <c r="B181"/>
      <c r="E181" s="4"/>
      <c r="F181"/>
    </row>
    <row r="182" spans="1:6" s="1" customFormat="1" x14ac:dyDescent="0.35">
      <c r="A182"/>
      <c r="B182"/>
      <c r="E182" s="4"/>
      <c r="F182"/>
    </row>
    <row r="183" spans="1:6" s="1" customFormat="1" x14ac:dyDescent="0.35">
      <c r="A183"/>
      <c r="B183"/>
      <c r="E183" s="4"/>
      <c r="F183"/>
    </row>
    <row r="184" spans="1:6" s="1" customFormat="1" x14ac:dyDescent="0.35">
      <c r="A184"/>
      <c r="B184"/>
      <c r="E184" s="4"/>
      <c r="F184"/>
    </row>
    <row r="185" spans="1:6" s="1" customFormat="1" x14ac:dyDescent="0.35">
      <c r="A185"/>
      <c r="B185"/>
      <c r="E185" s="4"/>
      <c r="F185"/>
    </row>
    <row r="186" spans="1:6" s="1" customFormat="1" x14ac:dyDescent="0.35">
      <c r="A186"/>
      <c r="B186"/>
      <c r="E186" s="4"/>
      <c r="F186"/>
    </row>
    <row r="187" spans="1:6" s="1" customFormat="1" x14ac:dyDescent="0.35">
      <c r="A187"/>
      <c r="B187"/>
      <c r="E187" s="4"/>
      <c r="F187"/>
    </row>
    <row r="188" spans="1:6" s="1" customFormat="1" x14ac:dyDescent="0.35">
      <c r="A188"/>
      <c r="B188"/>
      <c r="E188" s="4"/>
      <c r="F188"/>
    </row>
    <row r="189" spans="1:6" s="1" customFormat="1" x14ac:dyDescent="0.35">
      <c r="A189"/>
      <c r="B189"/>
      <c r="E189" s="4"/>
      <c r="F189"/>
    </row>
    <row r="190" spans="1:6" s="1" customFormat="1" x14ac:dyDescent="0.35">
      <c r="A190"/>
      <c r="B190"/>
      <c r="E190" s="4"/>
      <c r="F190"/>
    </row>
    <row r="191" spans="1:6" s="1" customFormat="1" x14ac:dyDescent="0.35">
      <c r="A191"/>
      <c r="B191"/>
      <c r="E191" s="4"/>
      <c r="F191"/>
    </row>
    <row r="192" spans="1:6" s="1" customFormat="1" x14ac:dyDescent="0.35">
      <c r="A192"/>
      <c r="B192"/>
      <c r="E192" s="4"/>
      <c r="F192"/>
    </row>
    <row r="193" spans="1:6" s="1" customFormat="1" x14ac:dyDescent="0.35">
      <c r="A193"/>
      <c r="B193"/>
      <c r="E193" s="4"/>
      <c r="F193"/>
    </row>
    <row r="194" spans="1:6" s="1" customFormat="1" x14ac:dyDescent="0.35">
      <c r="A194"/>
      <c r="B194"/>
      <c r="E194" s="4"/>
      <c r="F194"/>
    </row>
    <row r="195" spans="1:6" s="1" customFormat="1" x14ac:dyDescent="0.35">
      <c r="A195"/>
      <c r="B195"/>
      <c r="E195" s="4"/>
      <c r="F195"/>
    </row>
    <row r="196" spans="1:6" s="1" customFormat="1" x14ac:dyDescent="0.35">
      <c r="A196"/>
      <c r="B196"/>
      <c r="E196" s="4"/>
      <c r="F196"/>
    </row>
    <row r="197" spans="1:6" s="1" customFormat="1" x14ac:dyDescent="0.35">
      <c r="A197"/>
      <c r="B197"/>
      <c r="E197" s="4"/>
      <c r="F197"/>
    </row>
    <row r="198" spans="1:6" s="1" customFormat="1" x14ac:dyDescent="0.35">
      <c r="A198"/>
      <c r="B198"/>
      <c r="E198" s="4"/>
      <c r="F198"/>
    </row>
    <row r="199" spans="1:6" s="1" customFormat="1" x14ac:dyDescent="0.35">
      <c r="A199"/>
      <c r="B199"/>
      <c r="E199" s="4"/>
      <c r="F199"/>
    </row>
    <row r="200" spans="1:6" s="1" customFormat="1" x14ac:dyDescent="0.35">
      <c r="A200"/>
      <c r="B200"/>
      <c r="E200" s="4"/>
      <c r="F200"/>
    </row>
    <row r="201" spans="1:6" s="1" customFormat="1" x14ac:dyDescent="0.35">
      <c r="A201"/>
      <c r="B201"/>
      <c r="E201" s="4"/>
      <c r="F201"/>
    </row>
    <row r="202" spans="1:6" s="1" customFormat="1" x14ac:dyDescent="0.35">
      <c r="A202"/>
      <c r="B202"/>
      <c r="E202" s="4"/>
      <c r="F202"/>
    </row>
    <row r="203" spans="1:6" s="1" customFormat="1" x14ac:dyDescent="0.35">
      <c r="A203"/>
      <c r="B203"/>
      <c r="E203" s="4"/>
      <c r="F203"/>
    </row>
    <row r="204" spans="1:6" s="1" customFormat="1" x14ac:dyDescent="0.35">
      <c r="A204"/>
      <c r="B204"/>
      <c r="E204" s="4"/>
      <c r="F204"/>
    </row>
    <row r="205" spans="1:6" s="1" customFormat="1" x14ac:dyDescent="0.35">
      <c r="A205"/>
      <c r="B205"/>
      <c r="E205" s="4"/>
      <c r="F205"/>
    </row>
    <row r="206" spans="1:6" s="1" customFormat="1" x14ac:dyDescent="0.35">
      <c r="A206"/>
      <c r="B206"/>
      <c r="E206" s="4"/>
      <c r="F206"/>
    </row>
    <row r="207" spans="1:6" s="1" customFormat="1" x14ac:dyDescent="0.35">
      <c r="A207"/>
      <c r="B207"/>
      <c r="E207" s="4"/>
      <c r="F207"/>
    </row>
    <row r="208" spans="1:6" s="1" customFormat="1" x14ac:dyDescent="0.35">
      <c r="A208"/>
      <c r="B208"/>
      <c r="E208" s="4"/>
      <c r="F208"/>
    </row>
    <row r="209" spans="1:6" s="1" customFormat="1" x14ac:dyDescent="0.35">
      <c r="A209"/>
      <c r="B209"/>
      <c r="E209" s="4"/>
      <c r="F209"/>
    </row>
    <row r="210" spans="1:6" s="1" customFormat="1" x14ac:dyDescent="0.35">
      <c r="A210"/>
      <c r="B210"/>
      <c r="E210" s="4"/>
      <c r="F210"/>
    </row>
    <row r="211" spans="1:6" s="1" customFormat="1" x14ac:dyDescent="0.35">
      <c r="A211"/>
      <c r="B211"/>
      <c r="E211" s="4"/>
      <c r="F211"/>
    </row>
    <row r="212" spans="1:6" s="1" customFormat="1" x14ac:dyDescent="0.35">
      <c r="A212"/>
      <c r="B212"/>
      <c r="E212" s="4"/>
      <c r="F212"/>
    </row>
    <row r="213" spans="1:6" s="1" customFormat="1" x14ac:dyDescent="0.35">
      <c r="A213"/>
      <c r="B213"/>
      <c r="E213" s="4"/>
      <c r="F213"/>
    </row>
    <row r="214" spans="1:6" s="1" customFormat="1" x14ac:dyDescent="0.35">
      <c r="A214"/>
      <c r="B214"/>
      <c r="E214" s="4"/>
      <c r="F214"/>
    </row>
    <row r="215" spans="1:6" s="1" customFormat="1" x14ac:dyDescent="0.35">
      <c r="A215"/>
      <c r="B215"/>
      <c r="E215" s="4"/>
      <c r="F215"/>
    </row>
    <row r="216" spans="1:6" s="1" customFormat="1" x14ac:dyDescent="0.35">
      <c r="A216"/>
      <c r="B216"/>
      <c r="E216" s="4"/>
      <c r="F216"/>
    </row>
    <row r="217" spans="1:6" s="1" customFormat="1" x14ac:dyDescent="0.35">
      <c r="A217"/>
      <c r="B217"/>
      <c r="E217" s="4"/>
      <c r="F217"/>
    </row>
    <row r="218" spans="1:6" s="1" customFormat="1" x14ac:dyDescent="0.35">
      <c r="A218"/>
      <c r="B218"/>
      <c r="E218" s="4"/>
      <c r="F218"/>
    </row>
    <row r="219" spans="1:6" s="1" customFormat="1" x14ac:dyDescent="0.35">
      <c r="A219"/>
      <c r="B219"/>
      <c r="E219" s="4"/>
      <c r="F219"/>
    </row>
    <row r="220" spans="1:6" s="1" customFormat="1" x14ac:dyDescent="0.35">
      <c r="A220"/>
      <c r="B220"/>
      <c r="E220" s="4"/>
      <c r="F220"/>
    </row>
    <row r="221" spans="1:6" s="1" customFormat="1" x14ac:dyDescent="0.35">
      <c r="A221"/>
      <c r="B221"/>
      <c r="E221" s="4"/>
      <c r="F221"/>
    </row>
    <row r="222" spans="1:6" s="1" customFormat="1" x14ac:dyDescent="0.35">
      <c r="A222"/>
      <c r="B222"/>
      <c r="E222" s="4"/>
      <c r="F222"/>
    </row>
    <row r="223" spans="1:6" s="1" customFormat="1" x14ac:dyDescent="0.35">
      <c r="A223"/>
      <c r="B223"/>
      <c r="E223" s="4"/>
      <c r="F223"/>
    </row>
    <row r="224" spans="1:6" s="1" customFormat="1" x14ac:dyDescent="0.35">
      <c r="A224"/>
      <c r="B224"/>
      <c r="E224" s="4"/>
      <c r="F224"/>
    </row>
    <row r="225" spans="1:6" s="1" customFormat="1" x14ac:dyDescent="0.35">
      <c r="A225"/>
      <c r="B225"/>
      <c r="E225" s="4"/>
      <c r="F225"/>
    </row>
    <row r="226" spans="1:6" s="1" customFormat="1" x14ac:dyDescent="0.35">
      <c r="A226"/>
      <c r="B226"/>
      <c r="E226" s="4"/>
      <c r="F226"/>
    </row>
    <row r="227" spans="1:6" s="1" customFormat="1" x14ac:dyDescent="0.35">
      <c r="A227"/>
      <c r="B227"/>
      <c r="E227" s="4"/>
      <c r="F227"/>
    </row>
    <row r="228" spans="1:6" s="1" customFormat="1" x14ac:dyDescent="0.35">
      <c r="A228"/>
      <c r="B228"/>
      <c r="E228" s="4"/>
      <c r="F228"/>
    </row>
    <row r="229" spans="1:6" s="1" customFormat="1" x14ac:dyDescent="0.35">
      <c r="A229"/>
      <c r="B229"/>
      <c r="E229" s="4"/>
      <c r="F229"/>
    </row>
    <row r="230" spans="1:6" s="1" customFormat="1" x14ac:dyDescent="0.35">
      <c r="A230"/>
      <c r="B230"/>
      <c r="E230" s="4"/>
      <c r="F230"/>
    </row>
    <row r="231" spans="1:6" s="1" customFormat="1" x14ac:dyDescent="0.35">
      <c r="A231"/>
      <c r="B231"/>
      <c r="E231" s="4"/>
      <c r="F231"/>
    </row>
    <row r="232" spans="1:6" s="1" customFormat="1" x14ac:dyDescent="0.35">
      <c r="A232"/>
      <c r="B232"/>
      <c r="E232" s="4"/>
      <c r="F232"/>
    </row>
    <row r="233" spans="1:6" s="1" customFormat="1" x14ac:dyDescent="0.35">
      <c r="A233"/>
      <c r="B233"/>
      <c r="E233" s="4"/>
      <c r="F233"/>
    </row>
    <row r="234" spans="1:6" s="1" customFormat="1" x14ac:dyDescent="0.35">
      <c r="A234"/>
      <c r="B234"/>
      <c r="E234" s="4"/>
      <c r="F234"/>
    </row>
    <row r="235" spans="1:6" s="1" customFormat="1" x14ac:dyDescent="0.35">
      <c r="A235"/>
      <c r="B235"/>
      <c r="E235" s="4"/>
      <c r="F235"/>
    </row>
    <row r="236" spans="1:6" s="1" customFormat="1" x14ac:dyDescent="0.35">
      <c r="A236"/>
      <c r="B236"/>
      <c r="E236" s="4"/>
      <c r="F236"/>
    </row>
    <row r="237" spans="1:6" s="1" customFormat="1" x14ac:dyDescent="0.35">
      <c r="A237"/>
      <c r="B237"/>
      <c r="E237" s="4"/>
      <c r="F237"/>
    </row>
    <row r="238" spans="1:6" s="1" customFormat="1" x14ac:dyDescent="0.35">
      <c r="A238"/>
      <c r="B238"/>
      <c r="E238" s="4"/>
      <c r="F238"/>
    </row>
    <row r="239" spans="1:6" s="1" customFormat="1" x14ac:dyDescent="0.35">
      <c r="A239"/>
      <c r="B239"/>
      <c r="E239" s="4"/>
      <c r="F239"/>
    </row>
    <row r="240" spans="1:6" s="1" customFormat="1" x14ac:dyDescent="0.35">
      <c r="A240"/>
      <c r="B240"/>
      <c r="E240" s="4"/>
      <c r="F240"/>
    </row>
    <row r="241" spans="1:6" s="1" customFormat="1" x14ac:dyDescent="0.35">
      <c r="A241"/>
      <c r="B241"/>
      <c r="E241" s="4"/>
      <c r="F241"/>
    </row>
    <row r="242" spans="1:6" s="1" customFormat="1" x14ac:dyDescent="0.35">
      <c r="A242"/>
      <c r="B242"/>
      <c r="E242" s="4"/>
      <c r="F242"/>
    </row>
    <row r="243" spans="1:6" s="1" customFormat="1" x14ac:dyDescent="0.35">
      <c r="A243"/>
      <c r="B243"/>
      <c r="E243" s="4"/>
      <c r="F243"/>
    </row>
    <row r="244" spans="1:6" s="1" customFormat="1" x14ac:dyDescent="0.35">
      <c r="A244"/>
      <c r="B244"/>
      <c r="E244" s="4"/>
      <c r="F244"/>
    </row>
    <row r="245" spans="1:6" s="1" customFormat="1" x14ac:dyDescent="0.35">
      <c r="A245"/>
      <c r="B245"/>
      <c r="E245" s="4"/>
      <c r="F245"/>
    </row>
    <row r="246" spans="1:6" s="1" customFormat="1" x14ac:dyDescent="0.35">
      <c r="A246"/>
      <c r="B246"/>
      <c r="E246" s="4"/>
      <c r="F246"/>
    </row>
    <row r="247" spans="1:6" s="1" customFormat="1" x14ac:dyDescent="0.35">
      <c r="A247"/>
      <c r="B247"/>
      <c r="E247" s="4"/>
      <c r="F247"/>
    </row>
    <row r="248" spans="1:6" s="1" customFormat="1" x14ac:dyDescent="0.35">
      <c r="A248"/>
      <c r="B248"/>
      <c r="E248" s="4"/>
      <c r="F248"/>
    </row>
    <row r="249" spans="1:6" s="1" customFormat="1" x14ac:dyDescent="0.35">
      <c r="A249"/>
      <c r="B249"/>
      <c r="E249" s="4"/>
      <c r="F249"/>
    </row>
    <row r="250" spans="1:6" s="1" customFormat="1" x14ac:dyDescent="0.35">
      <c r="A250"/>
      <c r="B250"/>
      <c r="E250" s="4"/>
      <c r="F250"/>
    </row>
    <row r="251" spans="1:6" s="1" customFormat="1" x14ac:dyDescent="0.35">
      <c r="A251"/>
      <c r="B251"/>
      <c r="E251" s="4"/>
      <c r="F251"/>
    </row>
    <row r="252" spans="1:6" s="1" customFormat="1" x14ac:dyDescent="0.35">
      <c r="A252"/>
      <c r="B252"/>
      <c r="E252" s="4"/>
      <c r="F252"/>
    </row>
    <row r="253" spans="1:6" s="1" customFormat="1" x14ac:dyDescent="0.35">
      <c r="A253"/>
      <c r="B253"/>
      <c r="E253" s="4"/>
      <c r="F253"/>
    </row>
    <row r="254" spans="1:6" s="1" customFormat="1" x14ac:dyDescent="0.35">
      <c r="A254"/>
      <c r="B254"/>
      <c r="E254" s="4"/>
      <c r="F254"/>
    </row>
    <row r="255" spans="1:6" s="1" customFormat="1" x14ac:dyDescent="0.35">
      <c r="A255"/>
      <c r="B255"/>
      <c r="E255" s="4"/>
      <c r="F255"/>
    </row>
    <row r="256" spans="1:6" s="1" customFormat="1" x14ac:dyDescent="0.35">
      <c r="A256"/>
      <c r="B256"/>
      <c r="E256" s="4"/>
      <c r="F256"/>
    </row>
    <row r="257" spans="1:6" s="1" customFormat="1" x14ac:dyDescent="0.35">
      <c r="A257"/>
      <c r="B257"/>
      <c r="E257" s="4"/>
      <c r="F257"/>
    </row>
    <row r="258" spans="1:6" s="1" customFormat="1" x14ac:dyDescent="0.35">
      <c r="A258"/>
      <c r="B258"/>
      <c r="E258" s="4"/>
      <c r="F258"/>
    </row>
    <row r="259" spans="1:6" s="1" customFormat="1" x14ac:dyDescent="0.35">
      <c r="A259"/>
      <c r="B259"/>
      <c r="E259" s="4"/>
      <c r="F259"/>
    </row>
    <row r="260" spans="1:6" s="1" customFormat="1" x14ac:dyDescent="0.35">
      <c r="A260"/>
      <c r="B260"/>
      <c r="E260" s="4"/>
      <c r="F260"/>
    </row>
    <row r="261" spans="1:6" s="1" customFormat="1" x14ac:dyDescent="0.35">
      <c r="A261"/>
      <c r="B261"/>
      <c r="E261" s="4"/>
      <c r="F261"/>
    </row>
    <row r="262" spans="1:6" s="1" customFormat="1" x14ac:dyDescent="0.35">
      <c r="A262"/>
      <c r="B262"/>
      <c r="E262" s="4"/>
      <c r="F262"/>
    </row>
    <row r="263" spans="1:6" s="1" customFormat="1" x14ac:dyDescent="0.35">
      <c r="A263"/>
      <c r="B263"/>
      <c r="E263" s="4"/>
      <c r="F263"/>
    </row>
    <row r="264" spans="1:6" s="1" customFormat="1" x14ac:dyDescent="0.35">
      <c r="A264"/>
      <c r="B264"/>
      <c r="E264" s="4"/>
      <c r="F264"/>
    </row>
    <row r="265" spans="1:6" s="1" customFormat="1" x14ac:dyDescent="0.35">
      <c r="A265"/>
      <c r="B265"/>
      <c r="E265" s="4"/>
      <c r="F265"/>
    </row>
    <row r="266" spans="1:6" s="1" customFormat="1" x14ac:dyDescent="0.35">
      <c r="A266"/>
      <c r="B266"/>
      <c r="E266" s="4"/>
      <c r="F266"/>
    </row>
    <row r="267" spans="1:6" s="1" customFormat="1" x14ac:dyDescent="0.35">
      <c r="A267"/>
      <c r="B267"/>
      <c r="E267" s="4"/>
      <c r="F267"/>
    </row>
    <row r="268" spans="1:6" s="1" customFormat="1" x14ac:dyDescent="0.35">
      <c r="A268"/>
      <c r="B268"/>
      <c r="E268" s="4"/>
      <c r="F268"/>
    </row>
    <row r="269" spans="1:6" s="1" customFormat="1" x14ac:dyDescent="0.35">
      <c r="A269"/>
      <c r="B269"/>
      <c r="E269" s="4"/>
      <c r="F269"/>
    </row>
    <row r="270" spans="1:6" s="1" customFormat="1" x14ac:dyDescent="0.35">
      <c r="A270"/>
      <c r="B270"/>
      <c r="E270" s="4"/>
      <c r="F270"/>
    </row>
    <row r="271" spans="1:6" s="1" customFormat="1" x14ac:dyDescent="0.35">
      <c r="A271"/>
      <c r="B271"/>
      <c r="E271" s="4"/>
      <c r="F271"/>
    </row>
    <row r="272" spans="1:6" s="1" customFormat="1" x14ac:dyDescent="0.35">
      <c r="A272"/>
      <c r="B272"/>
      <c r="E272" s="4"/>
      <c r="F272"/>
    </row>
    <row r="273" spans="1:6" s="1" customFormat="1" x14ac:dyDescent="0.35">
      <c r="A273"/>
      <c r="B273"/>
      <c r="E273" s="4"/>
      <c r="F273"/>
    </row>
    <row r="274" spans="1:6" s="1" customFormat="1" x14ac:dyDescent="0.35">
      <c r="A274"/>
      <c r="B274"/>
      <c r="E274" s="4"/>
      <c r="F274"/>
    </row>
    <row r="275" spans="1:6" s="1" customFormat="1" x14ac:dyDescent="0.35">
      <c r="A275"/>
      <c r="B275"/>
      <c r="E275" s="4"/>
      <c r="F275"/>
    </row>
    <row r="276" spans="1:6" s="1" customFormat="1" x14ac:dyDescent="0.35">
      <c r="A276"/>
      <c r="B276"/>
      <c r="E276" s="4"/>
      <c r="F276"/>
    </row>
    <row r="277" spans="1:6" s="1" customFormat="1" x14ac:dyDescent="0.35">
      <c r="A277"/>
      <c r="B277"/>
      <c r="E277" s="4"/>
      <c r="F277"/>
    </row>
    <row r="278" spans="1:6" s="1" customFormat="1" x14ac:dyDescent="0.35">
      <c r="A278"/>
      <c r="B278"/>
      <c r="E278" s="4"/>
      <c r="F278"/>
    </row>
    <row r="279" spans="1:6" s="1" customFormat="1" x14ac:dyDescent="0.35">
      <c r="A279"/>
      <c r="B279"/>
      <c r="E279" s="4"/>
      <c r="F279"/>
    </row>
    <row r="280" spans="1:6" s="1" customFormat="1" x14ac:dyDescent="0.35">
      <c r="A280"/>
      <c r="B280"/>
      <c r="E280" s="4"/>
      <c r="F280"/>
    </row>
    <row r="281" spans="1:6" s="1" customFormat="1" x14ac:dyDescent="0.35">
      <c r="A281"/>
      <c r="B281"/>
      <c r="E281" s="4"/>
      <c r="F281"/>
    </row>
    <row r="282" spans="1:6" s="1" customFormat="1" x14ac:dyDescent="0.35">
      <c r="A282"/>
      <c r="B282"/>
      <c r="E282" s="4"/>
      <c r="F282"/>
    </row>
    <row r="283" spans="1:6" s="1" customFormat="1" x14ac:dyDescent="0.35">
      <c r="A283"/>
      <c r="B283"/>
      <c r="E283" s="4"/>
      <c r="F283"/>
    </row>
    <row r="284" spans="1:6" s="1" customFormat="1" x14ac:dyDescent="0.35">
      <c r="A284"/>
      <c r="B284"/>
      <c r="E284" s="4"/>
      <c r="F284"/>
    </row>
    <row r="285" spans="1:6" s="1" customFormat="1" x14ac:dyDescent="0.35">
      <c r="A285"/>
      <c r="B285"/>
      <c r="E285" s="4"/>
      <c r="F285"/>
    </row>
    <row r="286" spans="1:6" s="1" customFormat="1" x14ac:dyDescent="0.35">
      <c r="A286"/>
      <c r="B286"/>
      <c r="E286" s="4"/>
      <c r="F286"/>
    </row>
    <row r="287" spans="1:6" s="1" customFormat="1" x14ac:dyDescent="0.35">
      <c r="A287"/>
      <c r="B287"/>
      <c r="E287" s="4"/>
      <c r="F287"/>
    </row>
    <row r="288" spans="1:6" s="1" customFormat="1" x14ac:dyDescent="0.35">
      <c r="A288"/>
      <c r="B288"/>
      <c r="E288" s="4"/>
      <c r="F288"/>
    </row>
    <row r="289" spans="1:6" s="1" customFormat="1" x14ac:dyDescent="0.35">
      <c r="A289"/>
      <c r="B289"/>
      <c r="E289" s="4"/>
      <c r="F289"/>
    </row>
    <row r="290" spans="1:6" s="1" customFormat="1" x14ac:dyDescent="0.35">
      <c r="A290"/>
      <c r="B290"/>
      <c r="E290" s="4"/>
      <c r="F290"/>
    </row>
    <row r="291" spans="1:6" s="1" customFormat="1" x14ac:dyDescent="0.35">
      <c r="A291"/>
      <c r="B291"/>
      <c r="E291" s="4"/>
      <c r="F291"/>
    </row>
    <row r="292" spans="1:6" s="1" customFormat="1" x14ac:dyDescent="0.35">
      <c r="A292"/>
      <c r="B292"/>
      <c r="E292" s="4"/>
      <c r="F292"/>
    </row>
    <row r="293" spans="1:6" s="1" customFormat="1" x14ac:dyDescent="0.35">
      <c r="A293"/>
      <c r="B293"/>
      <c r="E293" s="4"/>
      <c r="F293"/>
    </row>
    <row r="294" spans="1:6" s="1" customFormat="1" x14ac:dyDescent="0.35">
      <c r="A294"/>
      <c r="B294"/>
      <c r="E294" s="4"/>
      <c r="F294"/>
    </row>
    <row r="295" spans="1:6" s="1" customFormat="1" x14ac:dyDescent="0.35">
      <c r="A295"/>
      <c r="B295"/>
      <c r="E295" s="4"/>
      <c r="F295"/>
    </row>
    <row r="296" spans="1:6" s="1" customFormat="1" x14ac:dyDescent="0.35">
      <c r="A296"/>
      <c r="B296"/>
      <c r="E296" s="4"/>
      <c r="F296"/>
    </row>
    <row r="297" spans="1:6" s="1" customFormat="1" x14ac:dyDescent="0.35">
      <c r="A297"/>
      <c r="B297"/>
      <c r="E297" s="4"/>
      <c r="F297"/>
    </row>
    <row r="298" spans="1:6" s="1" customFormat="1" x14ac:dyDescent="0.35">
      <c r="A298"/>
      <c r="B298"/>
      <c r="E298" s="4"/>
      <c r="F298"/>
    </row>
    <row r="299" spans="1:6" s="1" customFormat="1" x14ac:dyDescent="0.35">
      <c r="A299"/>
      <c r="B299"/>
      <c r="E299" s="4"/>
      <c r="F299"/>
    </row>
    <row r="300" spans="1:6" s="1" customFormat="1" x14ac:dyDescent="0.35">
      <c r="A300"/>
      <c r="B300"/>
      <c r="E300" s="4"/>
      <c r="F30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H36"/>
  <sheetViews>
    <sheetView workbookViewId="0">
      <pane xSplit="2" ySplit="1" topLeftCell="C11" activePane="bottomRight" state="frozen"/>
      <selection pane="topRight" activeCell="D1" sqref="D1"/>
      <selection pane="bottomLeft" activeCell="A2" sqref="A2"/>
      <selection pane="bottomRight" activeCell="D1" sqref="D1"/>
    </sheetView>
  </sheetViews>
  <sheetFormatPr baseColWidth="10" defaultRowHeight="14.5" x14ac:dyDescent="0.35"/>
  <cols>
    <col min="2" max="2" width="18" customWidth="1"/>
    <col min="5" max="5" width="11.26953125" style="1" customWidth="1"/>
    <col min="6" max="6" width="67" style="1" hidden="1" customWidth="1"/>
    <col min="7" max="7" width="49.453125" style="1" hidden="1" customWidth="1"/>
    <col min="8" max="8" width="18.36328125" style="1" bestFit="1" customWidth="1"/>
  </cols>
  <sheetData>
    <row r="1" spans="1:7" x14ac:dyDescent="0.35">
      <c r="A1" s="1" t="s">
        <v>62</v>
      </c>
      <c r="B1" s="1" t="s">
        <v>0</v>
      </c>
      <c r="C1" t="s">
        <v>1</v>
      </c>
      <c r="D1" t="s">
        <v>45</v>
      </c>
      <c r="E1" s="1" t="s">
        <v>61</v>
      </c>
      <c r="F1" s="1" t="s">
        <v>44</v>
      </c>
    </row>
    <row r="2" spans="1:7" s="1" customFormat="1" x14ac:dyDescent="0.35">
      <c r="A2">
        <v>1007826</v>
      </c>
      <c r="B2" t="s">
        <v>3</v>
      </c>
      <c r="C2" s="2">
        <v>46175</v>
      </c>
      <c r="D2" s="3">
        <f t="shared" ref="D2:D4" ca="1" si="0">+C2-TODAY()</f>
        <v>43</v>
      </c>
      <c r="E2" s="5" t="s">
        <v>61</v>
      </c>
      <c r="F2" s="1" t="str">
        <f t="shared" ref="F2:F36" si="1">CONCATENATE("*Cód:* ",A2,CHAR(10),"*Producto:* ",B2,CHAR(10),"------",CHAR(10))</f>
        <v xml:space="preserve">*Cód:* 1007826
*Producto:* Gta. YIPY Minis Vainilla Bs.x 174g. CRI
------
</v>
      </c>
      <c r="G2" s="1" t="str">
        <f t="shared" ref="G2:G36" si="2">+CONCATENATE("|",A2,"|",B2,"|",F2)</f>
        <v xml:space="preserve">|1007826|Gta. YIPY Minis Vainilla Bs.x 174g. CRI|*Cód:* 1007826
*Producto:* Gta. YIPY Minis Vainilla Bs.x 174g. CRI
------
</v>
      </c>
    </row>
    <row r="3" spans="1:7" s="1" customFormat="1" x14ac:dyDescent="0.35">
      <c r="A3">
        <v>1009334</v>
      </c>
      <c r="B3" t="s">
        <v>4</v>
      </c>
      <c r="C3" s="2">
        <v>46215</v>
      </c>
      <c r="D3" s="3">
        <f t="shared" ca="1" si="0"/>
        <v>83</v>
      </c>
      <c r="E3" s="5" t="s">
        <v>61</v>
      </c>
      <c r="F3" s="1" t="str">
        <f t="shared" si="1"/>
        <v xml:space="preserve">*Cód:* 1009334
*Producto:* Gta. Chiky Chocolate x 9 CRI
------
</v>
      </c>
      <c r="G3" s="1" t="str">
        <f t="shared" si="2"/>
        <v xml:space="preserve">|1009334|Gta. Chiky Chocolate x 9 CRI|*Cód:* 1009334
*Producto:* Gta. Chiky Chocolate x 9 CRI
------
</v>
      </c>
    </row>
    <row r="4" spans="1:7" s="1" customFormat="1" x14ac:dyDescent="0.35">
      <c r="A4">
        <v>1028231</v>
      </c>
      <c r="B4" t="s">
        <v>5</v>
      </c>
      <c r="C4" s="2">
        <v>46175</v>
      </c>
      <c r="D4" s="3">
        <f t="shared" ca="1" si="0"/>
        <v>43</v>
      </c>
      <c r="E4" s="5" t="s">
        <v>61</v>
      </c>
      <c r="F4" s="1" t="str">
        <f t="shared" si="1"/>
        <v xml:space="preserve">*Cód:* 1028231
*Producto:* Gta. TOSH Chocolate y Avellanas Bs.x8
------
</v>
      </c>
      <c r="G4" s="1" t="str">
        <f t="shared" si="2"/>
        <v xml:space="preserve">|1028231|Gta. TOSH Chocolate y Avellanas Bs.x8|*Cód:* 1028231
*Producto:* Gta. TOSH Chocolate y Avellanas Bs.x8
------
</v>
      </c>
    </row>
    <row r="5" spans="1:7" s="1" customFormat="1" x14ac:dyDescent="0.35">
      <c r="A5">
        <v>1031559</v>
      </c>
      <c r="B5" t="s">
        <v>6</v>
      </c>
      <c r="C5" s="2">
        <v>46133</v>
      </c>
      <c r="D5" s="3">
        <f t="shared" ref="D5:D11" ca="1" si="3">+C5-TODAY()</f>
        <v>1</v>
      </c>
      <c r="E5" s="5" t="s">
        <v>61</v>
      </c>
      <c r="F5" s="1" t="str">
        <f t="shared" si="1"/>
        <v xml:space="preserve">*Cód:* 1031559
*Producto:* Brr. TOSH Lyne 6plegx12unx32g CAM
------
</v>
      </c>
      <c r="G5" s="1" t="str">
        <f t="shared" si="2"/>
        <v xml:space="preserve">|1031559|Brr. TOSH Lyne 6plegx12unx32g CAM|*Cód:* 1031559
*Producto:* Brr. TOSH Lyne 6plegx12unx32g CAM
------
</v>
      </c>
    </row>
    <row r="6" spans="1:7" s="1" customFormat="1" x14ac:dyDescent="0.35">
      <c r="A6">
        <v>1031559</v>
      </c>
      <c r="B6" t="s">
        <v>6</v>
      </c>
      <c r="C6" s="2">
        <v>46199</v>
      </c>
      <c r="D6" s="3">
        <f t="shared" ca="1" si="3"/>
        <v>67</v>
      </c>
      <c r="E6" s="5" t="s">
        <v>61</v>
      </c>
      <c r="F6" s="1" t="str">
        <f t="shared" si="1"/>
        <v xml:space="preserve">*Cód:* 1031559
*Producto:* Brr. TOSH Lyne 6plegx12unx32g CAM
------
</v>
      </c>
      <c r="G6" s="1" t="str">
        <f t="shared" si="2"/>
        <v xml:space="preserve">|1031559|Brr. TOSH Lyne 6plegx12unx32g CAM|*Cód:* 1031559
*Producto:* Brr. TOSH Lyne 6plegx12unx32g CAM
------
</v>
      </c>
    </row>
    <row r="7" spans="1:7" s="1" customFormat="1" x14ac:dyDescent="0.35">
      <c r="A7">
        <v>1031560</v>
      </c>
      <c r="B7" t="s">
        <v>7</v>
      </c>
      <c r="C7" s="2">
        <v>46163</v>
      </c>
      <c r="D7" s="3">
        <f t="shared" ca="1" si="3"/>
        <v>31</v>
      </c>
      <c r="E7" s="5" t="s">
        <v>61</v>
      </c>
      <c r="F7" s="1" t="str">
        <f t="shared" si="1"/>
        <v xml:space="preserve">*Cód:* 1031560
*Producto:* Brr. TOSH Chocolate 6plegx12unx32g CAM
------
</v>
      </c>
      <c r="G7" s="1" t="str">
        <f t="shared" si="2"/>
        <v xml:space="preserve">|1031560|Brr. TOSH Chocolate 6plegx12unx32g CAM|*Cód:* 1031560
*Producto:* Brr. TOSH Chocolate 6plegx12unx32g CAM
------
</v>
      </c>
    </row>
    <row r="8" spans="1:7" s="1" customFormat="1" x14ac:dyDescent="0.35">
      <c r="A8">
        <v>1031560</v>
      </c>
      <c r="B8" t="s">
        <v>7</v>
      </c>
      <c r="C8" s="2">
        <v>46191</v>
      </c>
      <c r="D8" s="3">
        <f t="shared" ca="1" si="3"/>
        <v>59</v>
      </c>
      <c r="E8" s="5" t="s">
        <v>61</v>
      </c>
      <c r="F8" s="1" t="str">
        <f t="shared" si="1"/>
        <v xml:space="preserve">*Cód:* 1031560
*Producto:* Brr. TOSH Chocolate 6plegx12unx32g CAM
------
</v>
      </c>
      <c r="G8" s="1" t="str">
        <f t="shared" si="2"/>
        <v xml:space="preserve">|1031560|Brr. TOSH Chocolate 6plegx12unx32g CAM|*Cód:* 1031560
*Producto:* Brr. TOSH Chocolate 6plegx12unx32g CAM
------
</v>
      </c>
    </row>
    <row r="9" spans="1:7" s="1" customFormat="1" x14ac:dyDescent="0.35">
      <c r="A9">
        <v>1034527</v>
      </c>
      <c r="B9" t="s">
        <v>9</v>
      </c>
      <c r="C9" s="2">
        <v>46201</v>
      </c>
      <c r="D9" s="3">
        <f t="shared" ca="1" si="3"/>
        <v>69</v>
      </c>
      <c r="E9" s="5" t="s">
        <v>61</v>
      </c>
      <c r="F9" s="1" t="str">
        <f t="shared" si="1"/>
        <v xml:space="preserve">*Cód:* 1034527
*Producto:* Gta. Chiky Chocolate Bs. X10
------
</v>
      </c>
      <c r="G9" s="1" t="str">
        <f t="shared" si="2"/>
        <v xml:space="preserve">|1034527|Gta. Chiky Chocolate Bs. X10|*Cód:* 1034527
*Producto:* Gta. Chiky Chocolate Bs. X10
------
</v>
      </c>
    </row>
    <row r="10" spans="1:7" s="1" customFormat="1" x14ac:dyDescent="0.35">
      <c r="A10">
        <v>1038427</v>
      </c>
      <c r="B10" t="s">
        <v>10</v>
      </c>
      <c r="C10" s="2">
        <v>46203</v>
      </c>
      <c r="D10" s="3">
        <f t="shared" ca="1" si="3"/>
        <v>71</v>
      </c>
      <c r="E10" s="5" t="s">
        <v>61</v>
      </c>
      <c r="F10" s="1" t="str">
        <f t="shared" si="1"/>
        <v xml:space="preserve">*Cód:* 1038427
*Producto:* Gta. Canasta Chocolate BsX12 CRI NU
------
</v>
      </c>
      <c r="G10" s="1" t="str">
        <f t="shared" si="2"/>
        <v xml:space="preserve">|1038427|Gta. Canasta Chocolate BsX12 CRI NU|*Cód:* 1038427
*Producto:* Gta. Canasta Chocolate BsX12 CRI NU
------
</v>
      </c>
    </row>
    <row r="11" spans="1:7" s="1" customFormat="1" x14ac:dyDescent="0.35">
      <c r="A11">
        <v>1041191</v>
      </c>
      <c r="B11" t="s">
        <v>11</v>
      </c>
      <c r="C11" s="2">
        <v>46182</v>
      </c>
      <c r="D11" s="3">
        <f t="shared" ca="1" si="3"/>
        <v>50</v>
      </c>
      <c r="E11" s="5" t="s">
        <v>61</v>
      </c>
      <c r="F11" s="1" t="str">
        <f t="shared" si="1"/>
        <v xml:space="preserve">*Cód:* 1041191
*Producto:* Gta. Yipy Vainilla Bs. X 12 CRI CM
------
</v>
      </c>
      <c r="G11" s="1" t="str">
        <f t="shared" si="2"/>
        <v xml:space="preserve">|1041191|Gta. Yipy Vainilla Bs. X 12 CRI CM|*Cód:* 1041191
*Producto:* Gta. Yipy Vainilla Bs. X 12 CRI CM
------
</v>
      </c>
    </row>
    <row r="12" spans="1:7" s="1" customFormat="1" x14ac:dyDescent="0.35">
      <c r="A12">
        <v>1043179</v>
      </c>
      <c r="B12" t="s">
        <v>12</v>
      </c>
      <c r="C12" s="2">
        <v>46137</v>
      </c>
      <c r="D12" s="3">
        <f t="shared" ref="D12:D17" ca="1" si="4">+C12-TODAY()</f>
        <v>5</v>
      </c>
      <c r="E12" s="5" t="s">
        <v>61</v>
      </c>
      <c r="F12" s="1" t="str">
        <f t="shared" si="1"/>
        <v xml:space="preserve">*Cód:* 1043179
*Producto:* Gta. Chiky Chocolate Bs x 8 CRI CM
------
</v>
      </c>
      <c r="G12" s="1" t="str">
        <f t="shared" si="2"/>
        <v xml:space="preserve">|1043179|Gta. Chiky Chocolate Bs x 8 CRI CM|*Cód:* 1043179
*Producto:* Gta. Chiky Chocolate Bs x 8 CRI CM
------
</v>
      </c>
    </row>
    <row r="13" spans="1:7" s="1" customFormat="1" x14ac:dyDescent="0.35">
      <c r="A13">
        <v>1046259</v>
      </c>
      <c r="B13" t="s">
        <v>13</v>
      </c>
      <c r="C13" s="2">
        <v>46204</v>
      </c>
      <c r="D13" s="3">
        <f t="shared" ca="1" si="4"/>
        <v>72</v>
      </c>
      <c r="E13" s="5" t="s">
        <v>61</v>
      </c>
      <c r="F13" s="1" t="str">
        <f t="shared" si="1"/>
        <v xml:space="preserve">*Cód:* 1046259
*Producto:* Gta. Soda Especias BsX8 CAM NU
------
</v>
      </c>
      <c r="G13" s="1" t="str">
        <f t="shared" si="2"/>
        <v xml:space="preserve">|1046259|Gta. Soda Especias BsX8 CAM NU|*Cód:* 1046259
*Producto:* Gta. Soda Especias BsX8 CAM NU
------
</v>
      </c>
    </row>
    <row r="14" spans="1:7" s="1" customFormat="1" x14ac:dyDescent="0.35">
      <c r="A14">
        <v>1046717</v>
      </c>
      <c r="B14" t="s">
        <v>14</v>
      </c>
      <c r="C14" s="2">
        <v>46140</v>
      </c>
      <c r="D14" s="3">
        <f t="shared" ca="1" si="4"/>
        <v>8</v>
      </c>
      <c r="E14" s="5" t="s">
        <v>61</v>
      </c>
      <c r="F14" s="1" t="str">
        <f t="shared" si="1"/>
        <v xml:space="preserve">*Cód:* 1046717
*Producto:* Gta. Recreo Limon Bs x 10 CM
------
</v>
      </c>
      <c r="G14" s="1" t="str">
        <f t="shared" si="2"/>
        <v xml:space="preserve">|1046717|Gta. Recreo Limon Bs x 10 CM|*Cód:* 1046717
*Producto:* Gta. Recreo Limon Bs x 10 CM
------
</v>
      </c>
    </row>
    <row r="15" spans="1:7" s="1" customFormat="1" x14ac:dyDescent="0.35">
      <c r="A15">
        <v>1047712</v>
      </c>
      <c r="B15" t="s">
        <v>15</v>
      </c>
      <c r="C15" s="2">
        <v>46210</v>
      </c>
      <c r="D15" s="3">
        <f t="shared" ca="1" si="4"/>
        <v>78</v>
      </c>
      <c r="E15" s="5" t="s">
        <v>61</v>
      </c>
      <c r="F15" s="1" t="str">
        <f t="shared" si="1"/>
        <v xml:space="preserve">*Cód:* 1047712
*Producto:* Gta. Cremas POZ Mixtas CRI Ind.x6
------
</v>
      </c>
      <c r="G15" s="1" t="str">
        <f t="shared" si="2"/>
        <v xml:space="preserve">|1047712|Gta. Cremas POZ Mixtas CRI Ind.x6|*Cód:* 1047712
*Producto:* Gta. Cremas POZ Mixtas CRI Ind.x6
------
</v>
      </c>
    </row>
    <row r="16" spans="1:7" s="1" customFormat="1" x14ac:dyDescent="0.35">
      <c r="A16">
        <v>1048869</v>
      </c>
      <c r="B16" t="s">
        <v>17</v>
      </c>
      <c r="C16" s="2">
        <v>46205</v>
      </c>
      <c r="D16" s="3">
        <f t="shared" ca="1" si="4"/>
        <v>73</v>
      </c>
      <c r="E16" s="5" t="s">
        <v>61</v>
      </c>
      <c r="F16" s="1" t="str">
        <f t="shared" si="1"/>
        <v xml:space="preserve">*Cód:* 1048869
*Producto:* Gta. Mantequilla Tentaciones Ind.x6
------
</v>
      </c>
      <c r="G16" s="1" t="str">
        <f t="shared" si="2"/>
        <v xml:space="preserve">|1048869|Gta. Mantequilla Tentaciones Ind.x6|*Cód:* 1048869
*Producto:* Gta. Mantequilla Tentaciones Ind.x6
------
</v>
      </c>
    </row>
    <row r="17" spans="1:7" s="1" customFormat="1" x14ac:dyDescent="0.35">
      <c r="A17">
        <v>1055661</v>
      </c>
      <c r="B17" t="s">
        <v>19</v>
      </c>
      <c r="C17" s="2">
        <v>46141</v>
      </c>
      <c r="D17" s="3">
        <f t="shared" ca="1" si="4"/>
        <v>9</v>
      </c>
      <c r="E17" s="5" t="s">
        <v>61</v>
      </c>
      <c r="F17" s="1" t="str">
        <f t="shared" si="1"/>
        <v xml:space="preserve">*Cód:* 1055661
*Producto:* Gta. Tosh Fusion de Cereales Bs x6 CRI
------
</v>
      </c>
      <c r="G17" s="1" t="str">
        <f t="shared" si="2"/>
        <v xml:space="preserve">|1055661|Gta. Tosh Fusion de Cereales Bs x6 CRI|*Cód:* 1055661
*Producto:* Gta. Tosh Fusion de Cereales Bs x6 CRI
------
</v>
      </c>
    </row>
    <row r="18" spans="1:7" s="1" customFormat="1" x14ac:dyDescent="0.35">
      <c r="A18">
        <v>1058477</v>
      </c>
      <c r="B18" t="s">
        <v>22</v>
      </c>
      <c r="C18" s="2">
        <v>45945</v>
      </c>
      <c r="D18" s="3">
        <f t="shared" ref="D18:D24" ca="1" si="5">+C18-TODAY()</f>
        <v>-187</v>
      </c>
      <c r="E18" s="5" t="s">
        <v>61</v>
      </c>
      <c r="F18" s="1" t="str">
        <f t="shared" si="1"/>
        <v xml:space="preserve">*Cód:* 1058477
*Producto:* Cremino Untable 12/350g GT
------
</v>
      </c>
      <c r="G18" s="1" t="str">
        <f t="shared" si="2"/>
        <v xml:space="preserve">|1058477|Cremino Untable 12/350g GT|*Cód:* 1058477
*Producto:* Cremino Untable 12/350g GT
------
</v>
      </c>
    </row>
    <row r="19" spans="1:7" s="1" customFormat="1" x14ac:dyDescent="0.35">
      <c r="A19">
        <v>1058477</v>
      </c>
      <c r="B19" t="s">
        <v>22</v>
      </c>
      <c r="C19" s="2">
        <v>45989</v>
      </c>
      <c r="D19" s="3">
        <f t="shared" ca="1" si="5"/>
        <v>-143</v>
      </c>
      <c r="E19" s="5" t="s">
        <v>61</v>
      </c>
      <c r="F19" s="1" t="str">
        <f t="shared" si="1"/>
        <v xml:space="preserve">*Cód:* 1058477
*Producto:* Cremino Untable 12/350g GT
------
</v>
      </c>
      <c r="G19" s="1" t="str">
        <f t="shared" si="2"/>
        <v xml:space="preserve">|1058477|Cremino Untable 12/350g GT|*Cód:* 1058477
*Producto:* Cremino Untable 12/350g GT
------
</v>
      </c>
    </row>
    <row r="20" spans="1:7" s="1" customFormat="1" x14ac:dyDescent="0.35">
      <c r="A20">
        <v>1058882</v>
      </c>
      <c r="B20" t="s">
        <v>23</v>
      </c>
      <c r="C20" s="2">
        <v>46203</v>
      </c>
      <c r="D20" s="3">
        <f t="shared" ca="1" si="5"/>
        <v>71</v>
      </c>
      <c r="E20" s="5" t="s">
        <v>61</v>
      </c>
      <c r="F20" s="1" t="str">
        <f t="shared" si="1"/>
        <v xml:space="preserve">*Cód:* 1058882
*Producto:* Gta. NAVIDAD FAMILIA Bs 220g
------
</v>
      </c>
      <c r="G20" s="1" t="str">
        <f t="shared" si="2"/>
        <v xml:space="preserve">|1058882|Gta. NAVIDAD FAMILIA Bs 220g|*Cód:* 1058882
*Producto:* Gta. NAVIDAD FAMILIA Bs 220g
------
</v>
      </c>
    </row>
    <row r="21" spans="1:7" s="1" customFormat="1" x14ac:dyDescent="0.35">
      <c r="A21">
        <v>1059853</v>
      </c>
      <c r="B21" t="s">
        <v>24</v>
      </c>
      <c r="C21" s="2">
        <v>46038</v>
      </c>
      <c r="D21" s="3">
        <f t="shared" ca="1" si="5"/>
        <v>-94</v>
      </c>
      <c r="E21" s="5" t="s">
        <v>61</v>
      </c>
      <c r="F21" s="1" t="str">
        <f t="shared" si="1"/>
        <v xml:space="preserve">*Cód:* 1059853
*Producto:* Tutto sirope chocolate 250g 24x250g MTS
------
</v>
      </c>
      <c r="G21" s="1" t="str">
        <f t="shared" si="2"/>
        <v xml:space="preserve">|1059853|Tutto sirope chocolate 250g 24x250g MTS|*Cód:* 1059853
*Producto:* Tutto sirope chocolate 250g 24x250g MTS
------
</v>
      </c>
    </row>
    <row r="22" spans="1:7" s="1" customFormat="1" x14ac:dyDescent="0.35">
      <c r="A22">
        <v>1067971</v>
      </c>
      <c r="B22" t="s">
        <v>26</v>
      </c>
      <c r="C22" s="2">
        <v>46190</v>
      </c>
      <c r="D22" s="3">
        <f t="shared" ca="1" si="5"/>
        <v>58</v>
      </c>
      <c r="E22" s="5" t="s">
        <v>61</v>
      </c>
      <c r="F22" s="1" t="str">
        <f t="shared" si="1"/>
        <v xml:space="preserve">*Cód:* 1067971
*Producto:* Concen. DUKAT Gato Cachorros 1.59 kgrs.
------
</v>
      </c>
      <c r="G22" s="1" t="str">
        <f t="shared" si="2"/>
        <v xml:space="preserve">|1067971|Concen. DUKAT Gato Cachorros 1.59 kgrs.|*Cód:* 1067971
*Producto:* Concen. DUKAT Gato Cachorros 1.59 kgrs.
------
</v>
      </c>
    </row>
    <row r="23" spans="1:7" s="1" customFormat="1" x14ac:dyDescent="0.35">
      <c r="A23">
        <v>1068737</v>
      </c>
      <c r="B23" t="s">
        <v>27</v>
      </c>
      <c r="C23" s="2">
        <v>46210</v>
      </c>
      <c r="D23" s="3">
        <f t="shared" ca="1" si="5"/>
        <v>78</v>
      </c>
      <c r="E23" s="5" t="s">
        <v>61</v>
      </c>
      <c r="F23" s="1" t="str">
        <f t="shared" si="1"/>
        <v xml:space="preserve">*Cód:* 1068737
*Producto:* Gta.CLUB EXTRA Fiesta Tb 65gr
------
</v>
      </c>
      <c r="G23" s="1" t="str">
        <f t="shared" si="2"/>
        <v xml:space="preserve">|1068737|Gta.CLUB EXTRA Fiesta Tb 65gr|*Cód:* 1068737
*Producto:* Gta.CLUB EXTRA Fiesta Tb 65gr
------
</v>
      </c>
    </row>
    <row r="24" spans="1:7" s="1" customFormat="1" x14ac:dyDescent="0.35">
      <c r="A24">
        <v>1071124</v>
      </c>
      <c r="B24" t="s">
        <v>28</v>
      </c>
      <c r="C24" s="2">
        <v>46185</v>
      </c>
      <c r="D24" s="3">
        <f t="shared" ca="1" si="5"/>
        <v>53</v>
      </c>
      <c r="E24" s="5" t="s">
        <v>61</v>
      </c>
      <c r="F24" s="1" t="str">
        <f t="shared" si="1"/>
        <v xml:space="preserve">*Cód:* 1071124
*Producto:* Brr. TOSH Surtida 14xbjax6undx23g CAM
------
</v>
      </c>
      <c r="G24" s="1" t="str">
        <f t="shared" si="2"/>
        <v xml:space="preserve">|1071124|Brr. TOSH Surtida 14xbjax6undx23g CAM|*Cód:* 1071124
*Producto:* Brr. TOSH Surtida 14xbjax6undx23g CAM
------
</v>
      </c>
    </row>
    <row r="25" spans="1:7" s="1" customFormat="1" x14ac:dyDescent="0.35">
      <c r="A25">
        <v>1071124</v>
      </c>
      <c r="B25" t="s">
        <v>28</v>
      </c>
      <c r="C25" s="2">
        <v>46201</v>
      </c>
      <c r="D25" s="3">
        <f t="shared" ref="D25:D35" ca="1" si="6">+C25-TODAY()</f>
        <v>69</v>
      </c>
      <c r="E25" s="5" t="s">
        <v>61</v>
      </c>
      <c r="F25" s="1" t="str">
        <f t="shared" si="1"/>
        <v xml:space="preserve">*Cód:* 1071124
*Producto:* Brr. TOSH Surtida 14xbjax6undx23g CAM
------
</v>
      </c>
      <c r="G25" s="1" t="str">
        <f t="shared" si="2"/>
        <v xml:space="preserve">|1071124|Brr. TOSH Surtida 14xbjax6undx23g CAM|*Cód:* 1071124
*Producto:* Brr. TOSH Surtida 14xbjax6undx23g CAM
------
</v>
      </c>
    </row>
    <row r="26" spans="1:7" s="1" customFormat="1" x14ac:dyDescent="0.35">
      <c r="A26">
        <v>1072624</v>
      </c>
      <c r="B26" t="s">
        <v>30</v>
      </c>
      <c r="C26" s="2">
        <v>46203</v>
      </c>
      <c r="D26" s="3">
        <f t="shared" ca="1" si="6"/>
        <v>71</v>
      </c>
      <c r="E26" s="5" t="s">
        <v>61</v>
      </c>
      <c r="F26" s="1" t="str">
        <f t="shared" si="1"/>
        <v xml:space="preserve">*Cód:* 1072624
*Producto:* Gta. NAVIDAD FAMILIA Bs. 150g
------
</v>
      </c>
      <c r="G26" s="1" t="str">
        <f t="shared" si="2"/>
        <v xml:space="preserve">|1072624|Gta. NAVIDAD FAMILIA Bs. 150g|*Cód:* 1072624
*Producto:* Gta. NAVIDAD FAMILIA Bs. 150g
------
</v>
      </c>
    </row>
    <row r="27" spans="1:7" s="1" customFormat="1" x14ac:dyDescent="0.35">
      <c r="A27">
        <v>1072851</v>
      </c>
      <c r="B27" t="s">
        <v>31</v>
      </c>
      <c r="C27" s="2">
        <v>46144</v>
      </c>
      <c r="D27" s="3">
        <f t="shared" ca="1" si="6"/>
        <v>12</v>
      </c>
      <c r="E27" s="5" t="s">
        <v>61</v>
      </c>
      <c r="F27" s="1" t="str">
        <f t="shared" si="1"/>
        <v xml:space="preserve">*Cód:* 1072851
*Producto:* Glina.Tutto Bomb Caramel 4x12x3un  CAM
------
</v>
      </c>
      <c r="G27" s="1" t="str">
        <f t="shared" si="2"/>
        <v xml:space="preserve">|1072851|Glina.Tutto Bomb Caramel 4x12x3un  CAM|*Cód:* 1072851
*Producto:* Glina.Tutto Bomb Caramel 4x12x3un  CAM
------
</v>
      </c>
    </row>
    <row r="28" spans="1:7" s="1" customFormat="1" x14ac:dyDescent="0.35">
      <c r="A28">
        <v>1073449</v>
      </c>
      <c r="B28" t="s">
        <v>32</v>
      </c>
      <c r="C28" s="2">
        <v>46182</v>
      </c>
      <c r="D28" s="3">
        <f t="shared" ca="1" si="6"/>
        <v>50</v>
      </c>
      <c r="E28" s="5" t="s">
        <v>61</v>
      </c>
      <c r="F28" s="1" t="str">
        <f t="shared" si="1"/>
        <v xml:space="preserve">*Cód:* 1073449
*Producto:* Brr. TOSH Arandanos 22bjax3undx23g CAM
------
</v>
      </c>
      <c r="G28" s="1" t="str">
        <f t="shared" si="2"/>
        <v xml:space="preserve">|1073449|Brr. TOSH Arandanos 22bjax3undx23g CAM|*Cód:* 1073449
*Producto:* Brr. TOSH Arandanos 22bjax3undx23g CAM
------
</v>
      </c>
    </row>
    <row r="29" spans="1:7" s="1" customFormat="1" x14ac:dyDescent="0.35">
      <c r="A29">
        <v>1073541</v>
      </c>
      <c r="B29" t="s">
        <v>33</v>
      </c>
      <c r="C29" s="2">
        <v>46141</v>
      </c>
      <c r="D29" s="3">
        <f t="shared" ca="1" si="6"/>
        <v>9</v>
      </c>
      <c r="E29" s="5" t="s">
        <v>61</v>
      </c>
      <c r="F29" s="1" t="str">
        <f t="shared" si="1"/>
        <v xml:space="preserve">*Cód:* 1073541
*Producto:* Pasab. GRANUTS Sweet&amp;Salty dp12x180g CAM
------
</v>
      </c>
      <c r="G29" s="1" t="str">
        <f t="shared" si="2"/>
        <v xml:space="preserve">|1073541|Pasab. GRANUTS Sweet&amp;Salty dp12x180g CAM|*Cód:* 1073541
*Producto:* Pasab. GRANUTS Sweet&amp;Salty dp12x180g CAM
------
</v>
      </c>
    </row>
    <row r="30" spans="1:7" s="1" customFormat="1" x14ac:dyDescent="0.35">
      <c r="A30">
        <v>1073679</v>
      </c>
      <c r="B30" t="s">
        <v>34</v>
      </c>
      <c r="C30" s="2">
        <v>46159</v>
      </c>
      <c r="D30" s="3">
        <f t="shared" ca="1" si="6"/>
        <v>27</v>
      </c>
      <c r="E30" s="5" t="s">
        <v>61</v>
      </c>
      <c r="F30" s="1" t="str">
        <f t="shared" si="1"/>
        <v xml:space="preserve">*Cód:* 1073679
*Producto:* Gta. Chiky Chocolate Bs.x12 Navidad
------
</v>
      </c>
      <c r="G30" s="1" t="str">
        <f t="shared" si="2"/>
        <v xml:space="preserve">|1073679|Gta. Chiky Chocolate Bs.x12 Navidad|*Cód:* 1073679
*Producto:* Gta. Chiky Chocolate Bs.x12 Navidad
------
</v>
      </c>
    </row>
    <row r="31" spans="1:7" s="1" customFormat="1" x14ac:dyDescent="0.35">
      <c r="A31">
        <v>1075711</v>
      </c>
      <c r="B31" t="s">
        <v>35</v>
      </c>
      <c r="C31" s="2">
        <v>46113</v>
      </c>
      <c r="D31" s="3">
        <f t="shared" ca="1" si="6"/>
        <v>-19</v>
      </c>
      <c r="E31" s="5" t="s">
        <v>61</v>
      </c>
      <c r="F31" s="1" t="str">
        <f t="shared" si="1"/>
        <v xml:space="preserve">*Cód:* 1075711
*Producto:* TuttoCrunchyBitesBailey 480g 8x12x40gMTS
------
</v>
      </c>
      <c r="G31" s="1" t="str">
        <f t="shared" si="2"/>
        <v xml:space="preserve">|1075711|TuttoCrunchyBitesBailey 480g 8x12x40gMTS|*Cód:* 1075711
*Producto:* TuttoCrunchyBitesBailey 480g 8x12x40gMTS
------
</v>
      </c>
    </row>
    <row r="32" spans="1:7" s="1" customFormat="1" x14ac:dyDescent="0.35">
      <c r="A32">
        <v>1076217</v>
      </c>
      <c r="B32" t="s">
        <v>36</v>
      </c>
      <c r="C32" s="2">
        <v>46126</v>
      </c>
      <c r="D32" s="3">
        <f t="shared" ca="1" si="6"/>
        <v>-6</v>
      </c>
      <c r="E32" s="5" t="s">
        <v>61</v>
      </c>
      <c r="F32" s="1" t="str">
        <f t="shared" si="1"/>
        <v xml:space="preserve">*Cód:* 1076217
*Producto:* Gta. POZUELO Crocants Vainilla Bsx6 192g
------
</v>
      </c>
      <c r="G32" s="1" t="str">
        <f t="shared" si="2"/>
        <v xml:space="preserve">|1076217|Gta. POZUELO Crocants Vainilla Bsx6 192g|*Cód:* 1076217
*Producto:* Gta. POZUELO Crocants Vainilla Bsx6 192g
------
</v>
      </c>
    </row>
    <row r="33" spans="1:7" s="1" customFormat="1" x14ac:dyDescent="0.35">
      <c r="A33">
        <v>1078426</v>
      </c>
      <c r="B33" t="s">
        <v>38</v>
      </c>
      <c r="C33" s="2">
        <v>46199</v>
      </c>
      <c r="D33" s="3">
        <f t="shared" ca="1" si="6"/>
        <v>67</v>
      </c>
      <c r="E33" s="5" t="s">
        <v>61</v>
      </c>
      <c r="F33" s="1" t="str">
        <f t="shared" si="1"/>
        <v xml:space="preserve">*Cód:* 1078426
*Producto:* Mezcla TajIn Granuts 540g 8x12x45g NI
------
</v>
      </c>
      <c r="G33" s="1" t="str">
        <f t="shared" si="2"/>
        <v xml:space="preserve">|1078426|Mezcla TajIn Granuts 540g 8x12x45g NI|*Cód:* 1078426
*Producto:* Mezcla TajIn Granuts 540g 8x12x45g NI
------
</v>
      </c>
    </row>
    <row r="34" spans="1:7" s="1" customFormat="1" x14ac:dyDescent="0.35">
      <c r="A34">
        <v>1078985</v>
      </c>
      <c r="B34" t="s">
        <v>39</v>
      </c>
      <c r="C34" s="2">
        <v>46200</v>
      </c>
      <c r="D34" s="3">
        <f t="shared" ca="1" si="6"/>
        <v>68</v>
      </c>
      <c r="E34" s="5" t="s">
        <v>61</v>
      </c>
      <c r="F34" s="1" t="str">
        <f t="shared" si="1"/>
        <v xml:space="preserve">*Cód:* 1078985
*Producto:* Glina.TuttoPlacerAvellan8Plegx8unx80gCAM
------
</v>
      </c>
      <c r="G34" s="1" t="str">
        <f t="shared" si="2"/>
        <v xml:space="preserve">|1078985|Glina.TuttoPlacerAvellan8Plegx8unx80gCAM|*Cód:* 1078985
*Producto:* Glina.TuttoPlacerAvellan8Plegx8unx80gCAM
------
</v>
      </c>
    </row>
    <row r="35" spans="1:7" s="1" customFormat="1" x14ac:dyDescent="0.35">
      <c r="A35">
        <v>1079506</v>
      </c>
      <c r="B35" t="s">
        <v>40</v>
      </c>
      <c r="C35" s="2">
        <v>46196</v>
      </c>
      <c r="D35" s="3">
        <f t="shared" ca="1" si="6"/>
        <v>64</v>
      </c>
      <c r="E35" s="5" t="s">
        <v>61</v>
      </c>
      <c r="F35" s="1" t="str">
        <f t="shared" si="1"/>
        <v xml:space="preserve">*Cód:* 1079506
*Producto:* Gta. CHIKY Chips Bs. X6 Promo ST
------
</v>
      </c>
      <c r="G35" s="1" t="str">
        <f t="shared" si="2"/>
        <v xml:space="preserve">|1079506|Gta. CHIKY Chips Bs. X6 Promo ST|*Cód:* 1079506
*Producto:* Gta. CHIKY Chips Bs. X6 Promo ST
------
</v>
      </c>
    </row>
    <row r="36" spans="1:7" s="1" customFormat="1" x14ac:dyDescent="0.35">
      <c r="A36">
        <v>2036007</v>
      </c>
      <c r="B36" t="s">
        <v>42</v>
      </c>
      <c r="C36" s="2">
        <v>46212</v>
      </c>
      <c r="D36" s="3">
        <f t="shared" ref="D36" ca="1" si="7">+C36-TODAY()</f>
        <v>80</v>
      </c>
      <c r="E36" s="5" t="s">
        <v>61</v>
      </c>
      <c r="F36" s="1" t="str">
        <f t="shared" si="1"/>
        <v xml:space="preserve">*Cód:* 2036007
*Producto:* Mermelada Tosh 24X200G GuayabaChia MTS
------
</v>
      </c>
      <c r="G36" s="1" t="str">
        <f t="shared" si="2"/>
        <v xml:space="preserve">|2036007|Mermelada Tosh 24X200G GuayabaChia MTS|*Cód:* 2036007
*Producto:* Mermelada Tosh 24X200G GuayabaChia MTS
------
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AGOTADOS</vt:lpstr>
      <vt:lpstr>VERCER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Francisco Pichardo Ortiz</dc:creator>
  <cp:lastModifiedBy>Oscar Francisco Pichardo Ortiz</cp:lastModifiedBy>
  <dcterms:created xsi:type="dcterms:W3CDTF">2026-04-10T14:02:37Z</dcterms:created>
  <dcterms:modified xsi:type="dcterms:W3CDTF">2026-04-20T14:32:42Z</dcterms:modified>
</cp:coreProperties>
</file>